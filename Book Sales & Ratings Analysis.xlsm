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tables/table2.xml" ContentType="application/vnd.openxmlformats-officedocument.spreadsheetml.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defaultThemeVersion="166925"/>
  <mc:AlternateContent xmlns:mc="http://schemas.openxmlformats.org/markup-compatibility/2006">
    <mc:Choice Requires="x15">
      <x15ac:absPath xmlns:x15ac="http://schemas.microsoft.com/office/spreadsheetml/2010/11/ac" url="C:\Users\USER\Desktop\"/>
    </mc:Choice>
  </mc:AlternateContent>
  <xr:revisionPtr revIDLastSave="0" documentId="8_{3A8F0B72-800D-4ABE-A6F9-24CE8820D036}" xr6:coauthVersionLast="47" xr6:coauthVersionMax="47" xr10:uidLastSave="{00000000-0000-0000-0000-000000000000}"/>
  <bookViews>
    <workbookView xWindow="-110" yWindow="-110" windowWidth="19420" windowHeight="10420" xr2:uid="{00000000-000D-0000-FFFF-FFFF00000000}"/>
  </bookViews>
  <sheets>
    <sheet name="Cleaned_bestsellers_wit_ cat" sheetId="2" r:id="rId1"/>
    <sheet name="Rating &amp; Popularity Analysis" sheetId="3" r:id="rId2"/>
    <sheet name="Price Analysis" sheetId="6" r:id="rId3"/>
    <sheet name="correlation for price analysis" sheetId="15" r:id="rId4"/>
    <sheet name="Trends Over Time analysis" sheetId="8" r:id="rId5"/>
    <sheet name="FOR VISUALIZATION" sheetId="16" r:id="rId6"/>
    <sheet name="DASHBOARD" sheetId="20" r:id="rId7"/>
  </sheets>
  <definedNames>
    <definedName name="_xlcn.WorksheetConnection_bestsellerswithcategories.xlsmTable2_2" hidden="1">Table2_2[]</definedName>
    <definedName name="ExternalData_1" localSheetId="0" hidden="1">'Cleaned_bestsellers_wit_ cat'!$A$1:$K$551</definedName>
    <definedName name="PRICE">#REF!</definedName>
    <definedName name="Slicer_Genre">#N/A</definedName>
    <definedName name="Slicer_Name">#N/A</definedName>
    <definedName name="Slicer_Reviews">#N/A</definedName>
    <definedName name="Slicer_Year">#N/A</definedName>
    <definedName name="user_rating">#REF!</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 cacheId="10" r:id="rId18"/>
    <pivotCache cacheId="11" r:id="rId19"/>
    <pivotCache cacheId="12" r:id="rId20"/>
    <pivotCache cacheId="13" r:id="rId21"/>
    <pivotCache cacheId="14" r:id="rId22"/>
  </pivotCaches>
  <extLst>
    <ext xmlns:x14="http://schemas.microsoft.com/office/spreadsheetml/2009/9/main" uri="{876F7934-8845-4945-9796-88D515C7AA90}">
      <x14:pivotCaches>
        <pivotCache cacheId="15" r:id="rId23"/>
        <pivotCache cacheId="16" r:id="rId24"/>
      </x14:pivotCaches>
    </ext>
    <ext xmlns:x14="http://schemas.microsoft.com/office/spreadsheetml/2009/9/main" uri="{BBE1A952-AA13-448e-AADC-164F8A28A991}">
      <x14:slicerCaches>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2_2" name="Table2_2" connection="WorksheetConnection_bestsellers with categories.xlsm!Table2_2"/>
        </x15:modelTables>
      </x15:dataModel>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14" i="2" l="1"/>
  <c r="N12" i="2"/>
  <c r="N11" i="2"/>
  <c r="N4" i="2"/>
  <c r="N7" i="2"/>
  <c r="N6" i="2"/>
  <c r="J2" i="2"/>
  <c r="H3" i="2"/>
  <c r="H2" i="2"/>
  <c r="N18" i="15"/>
  <c r="J551" i="2"/>
  <c r="H551" i="2"/>
  <c r="D551" i="2"/>
  <c r="J550" i="2"/>
  <c r="H550" i="2"/>
  <c r="D550" i="2"/>
  <c r="J549" i="2"/>
  <c r="H549" i="2"/>
  <c r="D549" i="2"/>
  <c r="J548" i="2"/>
  <c r="H548" i="2"/>
  <c r="D548" i="2"/>
  <c r="J547" i="2"/>
  <c r="H547" i="2"/>
  <c r="D547" i="2"/>
  <c r="J546" i="2"/>
  <c r="H546" i="2"/>
  <c r="D546" i="2"/>
  <c r="J545" i="2"/>
  <c r="H545" i="2"/>
  <c r="D545" i="2"/>
  <c r="J544" i="2"/>
  <c r="H544" i="2"/>
  <c r="D544" i="2"/>
  <c r="J543" i="2"/>
  <c r="H543" i="2"/>
  <c r="D543" i="2"/>
  <c r="J542" i="2"/>
  <c r="H542" i="2"/>
  <c r="D542" i="2"/>
  <c r="J541" i="2"/>
  <c r="H541" i="2"/>
  <c r="D541" i="2"/>
  <c r="J540" i="2"/>
  <c r="H540" i="2"/>
  <c r="D540" i="2"/>
  <c r="J539" i="2"/>
  <c r="H539" i="2"/>
  <c r="D539" i="2"/>
  <c r="J538" i="2"/>
  <c r="H538" i="2"/>
  <c r="D538" i="2"/>
  <c r="J537" i="2"/>
  <c r="H537" i="2"/>
  <c r="D537" i="2"/>
  <c r="J536" i="2"/>
  <c r="H536" i="2"/>
  <c r="D536" i="2"/>
  <c r="J535" i="2"/>
  <c r="H535" i="2"/>
  <c r="D535" i="2"/>
  <c r="J534" i="2"/>
  <c r="H534" i="2"/>
  <c r="D534" i="2"/>
  <c r="J533" i="2"/>
  <c r="H533" i="2"/>
  <c r="D533" i="2"/>
  <c r="J532" i="2"/>
  <c r="H532" i="2"/>
  <c r="D532" i="2"/>
  <c r="J531" i="2"/>
  <c r="H531" i="2"/>
  <c r="D531" i="2"/>
  <c r="J530" i="2"/>
  <c r="H530" i="2"/>
  <c r="D530" i="2"/>
  <c r="J529" i="2"/>
  <c r="H529" i="2"/>
  <c r="D529" i="2"/>
  <c r="J528" i="2"/>
  <c r="H528" i="2"/>
  <c r="D528" i="2"/>
  <c r="J527" i="2"/>
  <c r="H527" i="2"/>
  <c r="D527" i="2"/>
  <c r="J526" i="2"/>
  <c r="H526" i="2"/>
  <c r="D526" i="2"/>
  <c r="J525" i="2"/>
  <c r="H525" i="2"/>
  <c r="D525" i="2"/>
  <c r="J524" i="2"/>
  <c r="H524" i="2"/>
  <c r="D524" i="2"/>
  <c r="J523" i="2"/>
  <c r="H523" i="2"/>
  <c r="D523" i="2"/>
  <c r="J522" i="2"/>
  <c r="H522" i="2"/>
  <c r="D522" i="2"/>
  <c r="J521" i="2"/>
  <c r="H521" i="2"/>
  <c r="D521" i="2"/>
  <c r="J520" i="2"/>
  <c r="H520" i="2"/>
  <c r="D520" i="2"/>
  <c r="J519" i="2"/>
  <c r="H519" i="2"/>
  <c r="D519" i="2"/>
  <c r="J518" i="2"/>
  <c r="H518" i="2"/>
  <c r="D518" i="2"/>
  <c r="J517" i="2"/>
  <c r="H517" i="2"/>
  <c r="D517" i="2"/>
  <c r="J516" i="2"/>
  <c r="H516" i="2"/>
  <c r="D516" i="2"/>
  <c r="J515" i="2"/>
  <c r="H515" i="2"/>
  <c r="D515" i="2"/>
  <c r="J514" i="2"/>
  <c r="H514" i="2"/>
  <c r="D514" i="2"/>
  <c r="J513" i="2"/>
  <c r="H513" i="2"/>
  <c r="D513" i="2"/>
  <c r="J512" i="2"/>
  <c r="H512" i="2"/>
  <c r="D512" i="2"/>
  <c r="J511" i="2"/>
  <c r="H511" i="2"/>
  <c r="D511" i="2"/>
  <c r="J510" i="2"/>
  <c r="H510" i="2"/>
  <c r="D510" i="2"/>
  <c r="J509" i="2"/>
  <c r="H509" i="2"/>
  <c r="D509" i="2"/>
  <c r="J508" i="2"/>
  <c r="H508" i="2"/>
  <c r="D508" i="2"/>
  <c r="J507" i="2"/>
  <c r="H507" i="2"/>
  <c r="D507" i="2"/>
  <c r="J506" i="2"/>
  <c r="H506" i="2"/>
  <c r="D506" i="2"/>
  <c r="J505" i="2"/>
  <c r="H505" i="2"/>
  <c r="D505" i="2"/>
  <c r="J504" i="2"/>
  <c r="H504" i="2"/>
  <c r="D504" i="2"/>
  <c r="J503" i="2"/>
  <c r="H503" i="2"/>
  <c r="D503" i="2"/>
  <c r="J502" i="2"/>
  <c r="H502" i="2"/>
  <c r="D502" i="2"/>
  <c r="J501" i="2"/>
  <c r="H501" i="2"/>
  <c r="D501" i="2"/>
  <c r="J500" i="2"/>
  <c r="H500" i="2"/>
  <c r="D500" i="2"/>
  <c r="J499" i="2"/>
  <c r="H499" i="2"/>
  <c r="D499" i="2"/>
  <c r="J498" i="2"/>
  <c r="H498" i="2"/>
  <c r="D498" i="2"/>
  <c r="J497" i="2"/>
  <c r="H497" i="2"/>
  <c r="D497" i="2"/>
  <c r="J496" i="2"/>
  <c r="H496" i="2"/>
  <c r="D496" i="2"/>
  <c r="J495" i="2"/>
  <c r="H495" i="2"/>
  <c r="D495" i="2"/>
  <c r="J494" i="2"/>
  <c r="H494" i="2"/>
  <c r="D494" i="2"/>
  <c r="J493" i="2"/>
  <c r="H493" i="2"/>
  <c r="D493" i="2"/>
  <c r="J492" i="2"/>
  <c r="H492" i="2"/>
  <c r="D492" i="2"/>
  <c r="J491" i="2"/>
  <c r="H491" i="2"/>
  <c r="D491" i="2"/>
  <c r="J490" i="2"/>
  <c r="H490" i="2"/>
  <c r="D490" i="2"/>
  <c r="J489" i="2"/>
  <c r="H489" i="2"/>
  <c r="D489" i="2"/>
  <c r="J488" i="2"/>
  <c r="H488" i="2"/>
  <c r="D488" i="2"/>
  <c r="J487" i="2"/>
  <c r="H487" i="2"/>
  <c r="D487" i="2"/>
  <c r="J486" i="2"/>
  <c r="H486" i="2"/>
  <c r="D486" i="2"/>
  <c r="J485" i="2"/>
  <c r="H485" i="2"/>
  <c r="D485" i="2"/>
  <c r="J484" i="2"/>
  <c r="H484" i="2"/>
  <c r="D484" i="2"/>
  <c r="J483" i="2"/>
  <c r="H483" i="2"/>
  <c r="D483" i="2"/>
  <c r="J482" i="2"/>
  <c r="H482" i="2"/>
  <c r="D482" i="2"/>
  <c r="J481" i="2"/>
  <c r="H481" i="2"/>
  <c r="D481" i="2"/>
  <c r="J480" i="2"/>
  <c r="H480" i="2"/>
  <c r="D480" i="2"/>
  <c r="J479" i="2"/>
  <c r="H479" i="2"/>
  <c r="D479" i="2"/>
  <c r="J478" i="2"/>
  <c r="H478" i="2"/>
  <c r="D478" i="2"/>
  <c r="J477" i="2"/>
  <c r="H477" i="2"/>
  <c r="D477" i="2"/>
  <c r="J476" i="2"/>
  <c r="H476" i="2"/>
  <c r="D476" i="2"/>
  <c r="J475" i="2"/>
  <c r="H475" i="2"/>
  <c r="D475" i="2"/>
  <c r="J474" i="2"/>
  <c r="H474" i="2"/>
  <c r="D474" i="2"/>
  <c r="J473" i="2"/>
  <c r="H473" i="2"/>
  <c r="D473" i="2"/>
  <c r="J472" i="2"/>
  <c r="H472" i="2"/>
  <c r="D472" i="2"/>
  <c r="J471" i="2"/>
  <c r="H471" i="2"/>
  <c r="D471" i="2"/>
  <c r="J470" i="2"/>
  <c r="H470" i="2"/>
  <c r="D470" i="2"/>
  <c r="J469" i="2"/>
  <c r="H469" i="2"/>
  <c r="D469" i="2"/>
  <c r="J468" i="2"/>
  <c r="H468" i="2"/>
  <c r="D468" i="2"/>
  <c r="J467" i="2"/>
  <c r="H467" i="2"/>
  <c r="D467" i="2"/>
  <c r="J466" i="2"/>
  <c r="H466" i="2"/>
  <c r="D466" i="2"/>
  <c r="J465" i="2"/>
  <c r="H465" i="2"/>
  <c r="D465" i="2"/>
  <c r="J464" i="2"/>
  <c r="H464" i="2"/>
  <c r="D464" i="2"/>
  <c r="J463" i="2"/>
  <c r="H463" i="2"/>
  <c r="D463" i="2"/>
  <c r="J462" i="2"/>
  <c r="H462" i="2"/>
  <c r="D462" i="2"/>
  <c r="J461" i="2"/>
  <c r="H461" i="2"/>
  <c r="D461" i="2"/>
  <c r="J460" i="2"/>
  <c r="H460" i="2"/>
  <c r="D460" i="2"/>
  <c r="J459" i="2"/>
  <c r="H459" i="2"/>
  <c r="D459" i="2"/>
  <c r="J458" i="2"/>
  <c r="H458" i="2"/>
  <c r="D458" i="2"/>
  <c r="J457" i="2"/>
  <c r="H457" i="2"/>
  <c r="D457" i="2"/>
  <c r="J456" i="2"/>
  <c r="H456" i="2"/>
  <c r="D456" i="2"/>
  <c r="J455" i="2"/>
  <c r="H455" i="2"/>
  <c r="D455" i="2"/>
  <c r="J454" i="2"/>
  <c r="H454" i="2"/>
  <c r="D454" i="2"/>
  <c r="J453" i="2"/>
  <c r="H453" i="2"/>
  <c r="D453" i="2"/>
  <c r="J452" i="2"/>
  <c r="H452" i="2"/>
  <c r="D452" i="2"/>
  <c r="J451" i="2"/>
  <c r="H451" i="2"/>
  <c r="D451" i="2"/>
  <c r="J450" i="2"/>
  <c r="H450" i="2"/>
  <c r="D450" i="2"/>
  <c r="J449" i="2"/>
  <c r="H449" i="2"/>
  <c r="D449" i="2"/>
  <c r="J448" i="2"/>
  <c r="H448" i="2"/>
  <c r="D448" i="2"/>
  <c r="J447" i="2"/>
  <c r="H447" i="2"/>
  <c r="D447" i="2"/>
  <c r="J446" i="2"/>
  <c r="H446" i="2"/>
  <c r="D446" i="2"/>
  <c r="J445" i="2"/>
  <c r="H445" i="2"/>
  <c r="D445" i="2"/>
  <c r="J444" i="2"/>
  <c r="H444" i="2"/>
  <c r="D444" i="2"/>
  <c r="J443" i="2"/>
  <c r="H443" i="2"/>
  <c r="D443" i="2"/>
  <c r="J442" i="2"/>
  <c r="H442" i="2"/>
  <c r="D442" i="2"/>
  <c r="J441" i="2"/>
  <c r="H441" i="2"/>
  <c r="D441" i="2"/>
  <c r="J440" i="2"/>
  <c r="H440" i="2"/>
  <c r="D440" i="2"/>
  <c r="J439" i="2"/>
  <c r="H439" i="2"/>
  <c r="D439" i="2"/>
  <c r="J438" i="2"/>
  <c r="H438" i="2"/>
  <c r="D438" i="2"/>
  <c r="J437" i="2"/>
  <c r="H437" i="2"/>
  <c r="D437" i="2"/>
  <c r="J436" i="2"/>
  <c r="H436" i="2"/>
  <c r="D436" i="2"/>
  <c r="J435" i="2"/>
  <c r="H435" i="2"/>
  <c r="D435" i="2"/>
  <c r="J434" i="2"/>
  <c r="H434" i="2"/>
  <c r="D434" i="2"/>
  <c r="J433" i="2"/>
  <c r="H433" i="2"/>
  <c r="D433" i="2"/>
  <c r="J432" i="2"/>
  <c r="H432" i="2"/>
  <c r="D432" i="2"/>
  <c r="J431" i="2"/>
  <c r="H431" i="2"/>
  <c r="D431" i="2"/>
  <c r="J430" i="2"/>
  <c r="H430" i="2"/>
  <c r="D430" i="2"/>
  <c r="J429" i="2"/>
  <c r="H429" i="2"/>
  <c r="D429" i="2"/>
  <c r="J428" i="2"/>
  <c r="H428" i="2"/>
  <c r="D428" i="2"/>
  <c r="J427" i="2"/>
  <c r="H427" i="2"/>
  <c r="D427" i="2"/>
  <c r="J426" i="2"/>
  <c r="H426" i="2"/>
  <c r="D426" i="2"/>
  <c r="J425" i="2"/>
  <c r="H425" i="2"/>
  <c r="D425" i="2"/>
  <c r="J424" i="2"/>
  <c r="H424" i="2"/>
  <c r="D424" i="2"/>
  <c r="J423" i="2"/>
  <c r="H423" i="2"/>
  <c r="D423" i="2"/>
  <c r="J422" i="2"/>
  <c r="H422" i="2"/>
  <c r="D422" i="2"/>
  <c r="J421" i="2"/>
  <c r="H421" i="2"/>
  <c r="D421" i="2"/>
  <c r="J420" i="2"/>
  <c r="H420" i="2"/>
  <c r="D420" i="2"/>
  <c r="J419" i="2"/>
  <c r="H419" i="2"/>
  <c r="D419" i="2"/>
  <c r="J418" i="2"/>
  <c r="H418" i="2"/>
  <c r="D418" i="2"/>
  <c r="J417" i="2"/>
  <c r="H417" i="2"/>
  <c r="D417" i="2"/>
  <c r="J416" i="2"/>
  <c r="H416" i="2"/>
  <c r="D416" i="2"/>
  <c r="J415" i="2"/>
  <c r="H415" i="2"/>
  <c r="D415" i="2"/>
  <c r="J414" i="2"/>
  <c r="H414" i="2"/>
  <c r="D414" i="2"/>
  <c r="J413" i="2"/>
  <c r="H413" i="2"/>
  <c r="D413" i="2"/>
  <c r="J412" i="2"/>
  <c r="H412" i="2"/>
  <c r="D412" i="2"/>
  <c r="J411" i="2"/>
  <c r="H411" i="2"/>
  <c r="D411" i="2"/>
  <c r="J410" i="2"/>
  <c r="H410" i="2"/>
  <c r="D410" i="2"/>
  <c r="J409" i="2"/>
  <c r="H409" i="2"/>
  <c r="D409" i="2"/>
  <c r="J408" i="2"/>
  <c r="H408" i="2"/>
  <c r="D408" i="2"/>
  <c r="J407" i="2"/>
  <c r="H407" i="2"/>
  <c r="D407" i="2"/>
  <c r="J406" i="2"/>
  <c r="H406" i="2"/>
  <c r="D406" i="2"/>
  <c r="J405" i="2"/>
  <c r="H405" i="2"/>
  <c r="D405" i="2"/>
  <c r="J404" i="2"/>
  <c r="H404" i="2"/>
  <c r="D404" i="2"/>
  <c r="J403" i="2"/>
  <c r="H403" i="2"/>
  <c r="D403" i="2"/>
  <c r="J402" i="2"/>
  <c r="H402" i="2"/>
  <c r="D402" i="2"/>
  <c r="J401" i="2"/>
  <c r="H401" i="2"/>
  <c r="D401" i="2"/>
  <c r="J400" i="2"/>
  <c r="H400" i="2"/>
  <c r="D400" i="2"/>
  <c r="J399" i="2"/>
  <c r="H399" i="2"/>
  <c r="D399" i="2"/>
  <c r="J398" i="2"/>
  <c r="H398" i="2"/>
  <c r="D398" i="2"/>
  <c r="J397" i="2"/>
  <c r="H397" i="2"/>
  <c r="D397" i="2"/>
  <c r="J396" i="2"/>
  <c r="H396" i="2"/>
  <c r="D396" i="2"/>
  <c r="J395" i="2"/>
  <c r="H395" i="2"/>
  <c r="D395" i="2"/>
  <c r="J394" i="2"/>
  <c r="H394" i="2"/>
  <c r="D394" i="2"/>
  <c r="J393" i="2"/>
  <c r="H393" i="2"/>
  <c r="D393" i="2"/>
  <c r="J392" i="2"/>
  <c r="H392" i="2"/>
  <c r="D392" i="2"/>
  <c r="J391" i="2"/>
  <c r="H391" i="2"/>
  <c r="D391" i="2"/>
  <c r="J390" i="2"/>
  <c r="H390" i="2"/>
  <c r="D390" i="2"/>
  <c r="J389" i="2"/>
  <c r="H389" i="2"/>
  <c r="D389" i="2"/>
  <c r="J388" i="2"/>
  <c r="H388" i="2"/>
  <c r="D388" i="2"/>
  <c r="J387" i="2"/>
  <c r="H387" i="2"/>
  <c r="D387" i="2"/>
  <c r="J386" i="2"/>
  <c r="H386" i="2"/>
  <c r="D386" i="2"/>
  <c r="J385" i="2"/>
  <c r="H385" i="2"/>
  <c r="D385" i="2"/>
  <c r="J384" i="2"/>
  <c r="H384" i="2"/>
  <c r="D384" i="2"/>
  <c r="J383" i="2"/>
  <c r="H383" i="2"/>
  <c r="D383" i="2"/>
  <c r="J382" i="2"/>
  <c r="H382" i="2"/>
  <c r="D382" i="2"/>
  <c r="J381" i="2"/>
  <c r="H381" i="2"/>
  <c r="D381" i="2"/>
  <c r="J380" i="2"/>
  <c r="H380" i="2"/>
  <c r="D380" i="2"/>
  <c r="J379" i="2"/>
  <c r="H379" i="2"/>
  <c r="D379" i="2"/>
  <c r="J378" i="2"/>
  <c r="H378" i="2"/>
  <c r="D378" i="2"/>
  <c r="J377" i="2"/>
  <c r="H377" i="2"/>
  <c r="D377" i="2"/>
  <c r="J376" i="2"/>
  <c r="H376" i="2"/>
  <c r="D376" i="2"/>
  <c r="J375" i="2"/>
  <c r="H375" i="2"/>
  <c r="D375" i="2"/>
  <c r="J374" i="2"/>
  <c r="H374" i="2"/>
  <c r="D374" i="2"/>
  <c r="J373" i="2"/>
  <c r="H373" i="2"/>
  <c r="D373" i="2"/>
  <c r="J372" i="2"/>
  <c r="H372" i="2"/>
  <c r="D372" i="2"/>
  <c r="J371" i="2"/>
  <c r="H371" i="2"/>
  <c r="D371" i="2"/>
  <c r="J370" i="2"/>
  <c r="H370" i="2"/>
  <c r="D370" i="2"/>
  <c r="J369" i="2"/>
  <c r="H369" i="2"/>
  <c r="D369" i="2"/>
  <c r="J368" i="2"/>
  <c r="H368" i="2"/>
  <c r="D368" i="2"/>
  <c r="J367" i="2"/>
  <c r="H367" i="2"/>
  <c r="D367" i="2"/>
  <c r="J366" i="2"/>
  <c r="H366" i="2"/>
  <c r="D366" i="2"/>
  <c r="J365" i="2"/>
  <c r="H365" i="2"/>
  <c r="D365" i="2"/>
  <c r="J364" i="2"/>
  <c r="H364" i="2"/>
  <c r="D364" i="2"/>
  <c r="J363" i="2"/>
  <c r="H363" i="2"/>
  <c r="D363" i="2"/>
  <c r="J362" i="2"/>
  <c r="H362" i="2"/>
  <c r="D362" i="2"/>
  <c r="J361" i="2"/>
  <c r="H361" i="2"/>
  <c r="D361" i="2"/>
  <c r="J360" i="2"/>
  <c r="H360" i="2"/>
  <c r="D360" i="2"/>
  <c r="J359" i="2"/>
  <c r="H359" i="2"/>
  <c r="D359" i="2"/>
  <c r="J358" i="2"/>
  <c r="H358" i="2"/>
  <c r="D358" i="2"/>
  <c r="J357" i="2"/>
  <c r="H357" i="2"/>
  <c r="D357" i="2"/>
  <c r="J356" i="2"/>
  <c r="H356" i="2"/>
  <c r="D356" i="2"/>
  <c r="J355" i="2"/>
  <c r="H355" i="2"/>
  <c r="D355" i="2"/>
  <c r="J354" i="2"/>
  <c r="H354" i="2"/>
  <c r="D354" i="2"/>
  <c r="J353" i="2"/>
  <c r="H353" i="2"/>
  <c r="D353" i="2"/>
  <c r="J352" i="2"/>
  <c r="H352" i="2"/>
  <c r="D352" i="2"/>
  <c r="J351" i="2"/>
  <c r="H351" i="2"/>
  <c r="D351" i="2"/>
  <c r="J350" i="2"/>
  <c r="H350" i="2"/>
  <c r="D350" i="2"/>
  <c r="J349" i="2"/>
  <c r="H349" i="2"/>
  <c r="D349" i="2"/>
  <c r="J348" i="2"/>
  <c r="H348" i="2"/>
  <c r="D348" i="2"/>
  <c r="J347" i="2"/>
  <c r="H347" i="2"/>
  <c r="D347" i="2"/>
  <c r="J346" i="2"/>
  <c r="H346" i="2"/>
  <c r="D346" i="2"/>
  <c r="J345" i="2"/>
  <c r="H345" i="2"/>
  <c r="D345" i="2"/>
  <c r="J344" i="2"/>
  <c r="H344" i="2"/>
  <c r="D344" i="2"/>
  <c r="J343" i="2"/>
  <c r="H343" i="2"/>
  <c r="D343" i="2"/>
  <c r="J342" i="2"/>
  <c r="H342" i="2"/>
  <c r="D342" i="2"/>
  <c r="J341" i="2"/>
  <c r="H341" i="2"/>
  <c r="D341" i="2"/>
  <c r="J340" i="2"/>
  <c r="H340" i="2"/>
  <c r="D340" i="2"/>
  <c r="J339" i="2"/>
  <c r="H339" i="2"/>
  <c r="D339" i="2"/>
  <c r="J338" i="2"/>
  <c r="H338" i="2"/>
  <c r="D338" i="2"/>
  <c r="J337" i="2"/>
  <c r="H337" i="2"/>
  <c r="D337" i="2"/>
  <c r="J336" i="2"/>
  <c r="H336" i="2"/>
  <c r="D336" i="2"/>
  <c r="J335" i="2"/>
  <c r="H335" i="2"/>
  <c r="D335" i="2"/>
  <c r="J334" i="2"/>
  <c r="H334" i="2"/>
  <c r="D334" i="2"/>
  <c r="J333" i="2"/>
  <c r="H333" i="2"/>
  <c r="D333" i="2"/>
  <c r="J332" i="2"/>
  <c r="H332" i="2"/>
  <c r="D332" i="2"/>
  <c r="J331" i="2"/>
  <c r="H331" i="2"/>
  <c r="D331" i="2"/>
  <c r="J330" i="2"/>
  <c r="H330" i="2"/>
  <c r="D330" i="2"/>
  <c r="J329" i="2"/>
  <c r="H329" i="2"/>
  <c r="D329" i="2"/>
  <c r="J328" i="2"/>
  <c r="H328" i="2"/>
  <c r="D328" i="2"/>
  <c r="J327" i="2"/>
  <c r="H327" i="2"/>
  <c r="D327" i="2"/>
  <c r="J326" i="2"/>
  <c r="H326" i="2"/>
  <c r="D326" i="2"/>
  <c r="J325" i="2"/>
  <c r="H325" i="2"/>
  <c r="D325" i="2"/>
  <c r="J324" i="2"/>
  <c r="H324" i="2"/>
  <c r="D324" i="2"/>
  <c r="J323" i="2"/>
  <c r="H323" i="2"/>
  <c r="D323" i="2"/>
  <c r="J322" i="2"/>
  <c r="H322" i="2"/>
  <c r="D322" i="2"/>
  <c r="J321" i="2"/>
  <c r="H321" i="2"/>
  <c r="D321" i="2"/>
  <c r="J320" i="2"/>
  <c r="H320" i="2"/>
  <c r="D320" i="2"/>
  <c r="J319" i="2"/>
  <c r="H319" i="2"/>
  <c r="D319" i="2"/>
  <c r="J318" i="2"/>
  <c r="H318" i="2"/>
  <c r="D318" i="2"/>
  <c r="J317" i="2"/>
  <c r="H317" i="2"/>
  <c r="D317" i="2"/>
  <c r="J316" i="2"/>
  <c r="H316" i="2"/>
  <c r="D316" i="2"/>
  <c r="J315" i="2"/>
  <c r="H315" i="2"/>
  <c r="D315" i="2"/>
  <c r="J314" i="2"/>
  <c r="H314" i="2"/>
  <c r="D314" i="2"/>
  <c r="J313" i="2"/>
  <c r="H313" i="2"/>
  <c r="D313" i="2"/>
  <c r="J312" i="2"/>
  <c r="H312" i="2"/>
  <c r="D312" i="2"/>
  <c r="J311" i="2"/>
  <c r="H311" i="2"/>
  <c r="D311" i="2"/>
  <c r="J310" i="2"/>
  <c r="H310" i="2"/>
  <c r="D310" i="2"/>
  <c r="J309" i="2"/>
  <c r="H309" i="2"/>
  <c r="D309" i="2"/>
  <c r="J308" i="2"/>
  <c r="H308" i="2"/>
  <c r="D308" i="2"/>
  <c r="J307" i="2"/>
  <c r="H307" i="2"/>
  <c r="D307" i="2"/>
  <c r="J306" i="2"/>
  <c r="H306" i="2"/>
  <c r="D306" i="2"/>
  <c r="J305" i="2"/>
  <c r="H305" i="2"/>
  <c r="D305" i="2"/>
  <c r="J304" i="2"/>
  <c r="H304" i="2"/>
  <c r="D304" i="2"/>
  <c r="J303" i="2"/>
  <c r="H303" i="2"/>
  <c r="D303" i="2"/>
  <c r="J302" i="2"/>
  <c r="H302" i="2"/>
  <c r="D302" i="2"/>
  <c r="J301" i="2"/>
  <c r="H301" i="2"/>
  <c r="D301" i="2"/>
  <c r="J300" i="2"/>
  <c r="H300" i="2"/>
  <c r="D300" i="2"/>
  <c r="J299" i="2"/>
  <c r="H299" i="2"/>
  <c r="D299" i="2"/>
  <c r="J298" i="2"/>
  <c r="H298" i="2"/>
  <c r="D298" i="2"/>
  <c r="J297" i="2"/>
  <c r="H297" i="2"/>
  <c r="D297" i="2"/>
  <c r="J296" i="2"/>
  <c r="H296" i="2"/>
  <c r="D296" i="2"/>
  <c r="J295" i="2"/>
  <c r="H295" i="2"/>
  <c r="D295" i="2"/>
  <c r="J294" i="2"/>
  <c r="H294" i="2"/>
  <c r="D294" i="2"/>
  <c r="J293" i="2"/>
  <c r="H293" i="2"/>
  <c r="D293" i="2"/>
  <c r="J292" i="2"/>
  <c r="H292" i="2"/>
  <c r="D292" i="2"/>
  <c r="J291" i="2"/>
  <c r="H291" i="2"/>
  <c r="D291" i="2"/>
  <c r="J290" i="2"/>
  <c r="H290" i="2"/>
  <c r="D290" i="2"/>
  <c r="J289" i="2"/>
  <c r="H289" i="2"/>
  <c r="D289" i="2"/>
  <c r="J288" i="2"/>
  <c r="H288" i="2"/>
  <c r="D288" i="2"/>
  <c r="J287" i="2"/>
  <c r="H287" i="2"/>
  <c r="D287" i="2"/>
  <c r="J286" i="2"/>
  <c r="H286" i="2"/>
  <c r="D286" i="2"/>
  <c r="J285" i="2"/>
  <c r="H285" i="2"/>
  <c r="D285" i="2"/>
  <c r="J284" i="2"/>
  <c r="H284" i="2"/>
  <c r="D284" i="2"/>
  <c r="J283" i="2"/>
  <c r="H283" i="2"/>
  <c r="D283" i="2"/>
  <c r="J282" i="2"/>
  <c r="H282" i="2"/>
  <c r="D282" i="2"/>
  <c r="J281" i="2"/>
  <c r="H281" i="2"/>
  <c r="D281" i="2"/>
  <c r="J280" i="2"/>
  <c r="H280" i="2"/>
  <c r="D280" i="2"/>
  <c r="J279" i="2"/>
  <c r="H279" i="2"/>
  <c r="D279" i="2"/>
  <c r="J278" i="2"/>
  <c r="H278" i="2"/>
  <c r="D278" i="2"/>
  <c r="J277" i="2"/>
  <c r="H277" i="2"/>
  <c r="D277" i="2"/>
  <c r="J276" i="2"/>
  <c r="H276" i="2"/>
  <c r="D276" i="2"/>
  <c r="J275" i="2"/>
  <c r="H275" i="2"/>
  <c r="D275" i="2"/>
  <c r="J274" i="2"/>
  <c r="H274" i="2"/>
  <c r="D274" i="2"/>
  <c r="J273" i="2"/>
  <c r="H273" i="2"/>
  <c r="D273" i="2"/>
  <c r="J272" i="2"/>
  <c r="H272" i="2"/>
  <c r="D272" i="2"/>
  <c r="J271" i="2"/>
  <c r="H271" i="2"/>
  <c r="D271" i="2"/>
  <c r="J270" i="2"/>
  <c r="H270" i="2"/>
  <c r="D270" i="2"/>
  <c r="J269" i="2"/>
  <c r="H269" i="2"/>
  <c r="D269" i="2"/>
  <c r="J268" i="2"/>
  <c r="H268" i="2"/>
  <c r="D268" i="2"/>
  <c r="J267" i="2"/>
  <c r="H267" i="2"/>
  <c r="D267" i="2"/>
  <c r="J266" i="2"/>
  <c r="H266" i="2"/>
  <c r="D266" i="2"/>
  <c r="J265" i="2"/>
  <c r="H265" i="2"/>
  <c r="D265" i="2"/>
  <c r="J264" i="2"/>
  <c r="H264" i="2"/>
  <c r="D264" i="2"/>
  <c r="J263" i="2"/>
  <c r="H263" i="2"/>
  <c r="D263" i="2"/>
  <c r="J262" i="2"/>
  <c r="H262" i="2"/>
  <c r="D262" i="2"/>
  <c r="J261" i="2"/>
  <c r="H261" i="2"/>
  <c r="D261" i="2"/>
  <c r="J260" i="2"/>
  <c r="H260" i="2"/>
  <c r="D260" i="2"/>
  <c r="J259" i="2"/>
  <c r="H259" i="2"/>
  <c r="D259" i="2"/>
  <c r="J258" i="2"/>
  <c r="H258" i="2"/>
  <c r="D258" i="2"/>
  <c r="J257" i="2"/>
  <c r="H257" i="2"/>
  <c r="D257" i="2"/>
  <c r="J256" i="2"/>
  <c r="H256" i="2"/>
  <c r="D256" i="2"/>
  <c r="J255" i="2"/>
  <c r="H255" i="2"/>
  <c r="D255" i="2"/>
  <c r="J254" i="2"/>
  <c r="H254" i="2"/>
  <c r="D254" i="2"/>
  <c r="J253" i="2"/>
  <c r="H253" i="2"/>
  <c r="D253" i="2"/>
  <c r="J252" i="2"/>
  <c r="H252" i="2"/>
  <c r="D252" i="2"/>
  <c r="J251" i="2"/>
  <c r="H251" i="2"/>
  <c r="D251" i="2"/>
  <c r="J250" i="2"/>
  <c r="H250" i="2"/>
  <c r="D250" i="2"/>
  <c r="J249" i="2"/>
  <c r="H249" i="2"/>
  <c r="D249" i="2"/>
  <c r="J248" i="2"/>
  <c r="H248" i="2"/>
  <c r="D248" i="2"/>
  <c r="J247" i="2"/>
  <c r="H247" i="2"/>
  <c r="D247" i="2"/>
  <c r="J246" i="2"/>
  <c r="H246" i="2"/>
  <c r="D246" i="2"/>
  <c r="J245" i="2"/>
  <c r="H245" i="2"/>
  <c r="D245" i="2"/>
  <c r="J244" i="2"/>
  <c r="H244" i="2"/>
  <c r="D244" i="2"/>
  <c r="J243" i="2"/>
  <c r="H243" i="2"/>
  <c r="D243" i="2"/>
  <c r="J242" i="2"/>
  <c r="H242" i="2"/>
  <c r="D242" i="2"/>
  <c r="J241" i="2"/>
  <c r="H241" i="2"/>
  <c r="D241" i="2"/>
  <c r="J240" i="2"/>
  <c r="H240" i="2"/>
  <c r="D240" i="2"/>
  <c r="J239" i="2"/>
  <c r="H239" i="2"/>
  <c r="D239" i="2"/>
  <c r="J238" i="2"/>
  <c r="H238" i="2"/>
  <c r="D238" i="2"/>
  <c r="J237" i="2"/>
  <c r="H237" i="2"/>
  <c r="D237" i="2"/>
  <c r="J236" i="2"/>
  <c r="H236" i="2"/>
  <c r="D236" i="2"/>
  <c r="J235" i="2"/>
  <c r="H235" i="2"/>
  <c r="D235" i="2"/>
  <c r="J234" i="2"/>
  <c r="H234" i="2"/>
  <c r="D234" i="2"/>
  <c r="J233" i="2"/>
  <c r="H233" i="2"/>
  <c r="D233" i="2"/>
  <c r="J232" i="2"/>
  <c r="H232" i="2"/>
  <c r="D232" i="2"/>
  <c r="J231" i="2"/>
  <c r="H231" i="2"/>
  <c r="D231" i="2"/>
  <c r="J230" i="2"/>
  <c r="H230" i="2"/>
  <c r="D230" i="2"/>
  <c r="J229" i="2"/>
  <c r="H229" i="2"/>
  <c r="D229" i="2"/>
  <c r="J228" i="2"/>
  <c r="H228" i="2"/>
  <c r="D228" i="2"/>
  <c r="J227" i="2"/>
  <c r="H227" i="2"/>
  <c r="D227" i="2"/>
  <c r="J226" i="2"/>
  <c r="H226" i="2"/>
  <c r="D226" i="2"/>
  <c r="J225" i="2"/>
  <c r="H225" i="2"/>
  <c r="D225" i="2"/>
  <c r="J224" i="2"/>
  <c r="H224" i="2"/>
  <c r="D224" i="2"/>
  <c r="J223" i="2"/>
  <c r="H223" i="2"/>
  <c r="D223" i="2"/>
  <c r="J222" i="2"/>
  <c r="H222" i="2"/>
  <c r="D222" i="2"/>
  <c r="J221" i="2"/>
  <c r="H221" i="2"/>
  <c r="D221" i="2"/>
  <c r="J220" i="2"/>
  <c r="H220" i="2"/>
  <c r="D220" i="2"/>
  <c r="J219" i="2"/>
  <c r="H219" i="2"/>
  <c r="D219" i="2"/>
  <c r="J218" i="2"/>
  <c r="H218" i="2"/>
  <c r="D218" i="2"/>
  <c r="J217" i="2"/>
  <c r="H217" i="2"/>
  <c r="D217" i="2"/>
  <c r="J216" i="2"/>
  <c r="H216" i="2"/>
  <c r="D216" i="2"/>
  <c r="J215" i="2"/>
  <c r="H215" i="2"/>
  <c r="D215" i="2"/>
  <c r="J214" i="2"/>
  <c r="H214" i="2"/>
  <c r="D214" i="2"/>
  <c r="J213" i="2"/>
  <c r="H213" i="2"/>
  <c r="D213" i="2"/>
  <c r="J212" i="2"/>
  <c r="H212" i="2"/>
  <c r="D212" i="2"/>
  <c r="J211" i="2"/>
  <c r="H211" i="2"/>
  <c r="D211" i="2"/>
  <c r="J210" i="2"/>
  <c r="H210" i="2"/>
  <c r="D210" i="2"/>
  <c r="J209" i="2"/>
  <c r="H209" i="2"/>
  <c r="D209" i="2"/>
  <c r="J208" i="2"/>
  <c r="H208" i="2"/>
  <c r="D208" i="2"/>
  <c r="J207" i="2"/>
  <c r="H207" i="2"/>
  <c r="D207" i="2"/>
  <c r="J206" i="2"/>
  <c r="H206" i="2"/>
  <c r="D206" i="2"/>
  <c r="J205" i="2"/>
  <c r="H205" i="2"/>
  <c r="D205" i="2"/>
  <c r="J204" i="2"/>
  <c r="H204" i="2"/>
  <c r="D204" i="2"/>
  <c r="J203" i="2"/>
  <c r="H203" i="2"/>
  <c r="D203" i="2"/>
  <c r="J202" i="2"/>
  <c r="H202" i="2"/>
  <c r="D202" i="2"/>
  <c r="J201" i="2"/>
  <c r="H201" i="2"/>
  <c r="D201" i="2"/>
  <c r="J200" i="2"/>
  <c r="H200" i="2"/>
  <c r="D200" i="2"/>
  <c r="J199" i="2"/>
  <c r="H199" i="2"/>
  <c r="D199" i="2"/>
  <c r="J198" i="2"/>
  <c r="H198" i="2"/>
  <c r="D198" i="2"/>
  <c r="J197" i="2"/>
  <c r="H197" i="2"/>
  <c r="D197" i="2"/>
  <c r="J196" i="2"/>
  <c r="H196" i="2"/>
  <c r="D196" i="2"/>
  <c r="J195" i="2"/>
  <c r="H195" i="2"/>
  <c r="D195" i="2"/>
  <c r="J194" i="2"/>
  <c r="H194" i="2"/>
  <c r="D194" i="2"/>
  <c r="J193" i="2"/>
  <c r="H193" i="2"/>
  <c r="D193" i="2"/>
  <c r="J192" i="2"/>
  <c r="H192" i="2"/>
  <c r="D192" i="2"/>
  <c r="J191" i="2"/>
  <c r="H191" i="2"/>
  <c r="D191" i="2"/>
  <c r="J190" i="2"/>
  <c r="H190" i="2"/>
  <c r="D190" i="2"/>
  <c r="J189" i="2"/>
  <c r="H189" i="2"/>
  <c r="D189" i="2"/>
  <c r="J188" i="2"/>
  <c r="H188" i="2"/>
  <c r="D188" i="2"/>
  <c r="J187" i="2"/>
  <c r="H187" i="2"/>
  <c r="D187" i="2"/>
  <c r="J186" i="2"/>
  <c r="H186" i="2"/>
  <c r="D186" i="2"/>
  <c r="J185" i="2"/>
  <c r="H185" i="2"/>
  <c r="D185" i="2"/>
  <c r="J184" i="2"/>
  <c r="H184" i="2"/>
  <c r="D184" i="2"/>
  <c r="J183" i="2"/>
  <c r="H183" i="2"/>
  <c r="D183" i="2"/>
  <c r="J182" i="2"/>
  <c r="H182" i="2"/>
  <c r="D182" i="2"/>
  <c r="J181" i="2"/>
  <c r="H181" i="2"/>
  <c r="D181" i="2"/>
  <c r="J180" i="2"/>
  <c r="H180" i="2"/>
  <c r="D180" i="2"/>
  <c r="J179" i="2"/>
  <c r="H179" i="2"/>
  <c r="D179" i="2"/>
  <c r="J178" i="2"/>
  <c r="H178" i="2"/>
  <c r="D178" i="2"/>
  <c r="J177" i="2"/>
  <c r="H177" i="2"/>
  <c r="D177" i="2"/>
  <c r="J176" i="2"/>
  <c r="H176" i="2"/>
  <c r="D176" i="2"/>
  <c r="J175" i="2"/>
  <c r="H175" i="2"/>
  <c r="D175" i="2"/>
  <c r="J174" i="2"/>
  <c r="H174" i="2"/>
  <c r="D174" i="2"/>
  <c r="J173" i="2"/>
  <c r="H173" i="2"/>
  <c r="D173" i="2"/>
  <c r="J172" i="2"/>
  <c r="H172" i="2"/>
  <c r="D172" i="2"/>
  <c r="J171" i="2"/>
  <c r="H171" i="2"/>
  <c r="D171" i="2"/>
  <c r="J170" i="2"/>
  <c r="H170" i="2"/>
  <c r="D170" i="2"/>
  <c r="J169" i="2"/>
  <c r="H169" i="2"/>
  <c r="D169" i="2"/>
  <c r="J168" i="2"/>
  <c r="H168" i="2"/>
  <c r="D168" i="2"/>
  <c r="J167" i="2"/>
  <c r="H167" i="2"/>
  <c r="D167" i="2"/>
  <c r="J166" i="2"/>
  <c r="H166" i="2"/>
  <c r="D166" i="2"/>
  <c r="J165" i="2"/>
  <c r="H165" i="2"/>
  <c r="D165" i="2"/>
  <c r="J164" i="2"/>
  <c r="H164" i="2"/>
  <c r="D164" i="2"/>
  <c r="J163" i="2"/>
  <c r="H163" i="2"/>
  <c r="D163" i="2"/>
  <c r="J162" i="2"/>
  <c r="H162" i="2"/>
  <c r="D162" i="2"/>
  <c r="J161" i="2"/>
  <c r="H161" i="2"/>
  <c r="D161" i="2"/>
  <c r="J160" i="2"/>
  <c r="H160" i="2"/>
  <c r="D160" i="2"/>
  <c r="J159" i="2"/>
  <c r="H159" i="2"/>
  <c r="D159" i="2"/>
  <c r="J158" i="2"/>
  <c r="H158" i="2"/>
  <c r="D158" i="2"/>
  <c r="J157" i="2"/>
  <c r="H157" i="2"/>
  <c r="D157" i="2"/>
  <c r="J156" i="2"/>
  <c r="H156" i="2"/>
  <c r="D156" i="2"/>
  <c r="J155" i="2"/>
  <c r="H155" i="2"/>
  <c r="D155" i="2"/>
  <c r="J154" i="2"/>
  <c r="H154" i="2"/>
  <c r="D154" i="2"/>
  <c r="J153" i="2"/>
  <c r="H153" i="2"/>
  <c r="D153" i="2"/>
  <c r="J152" i="2"/>
  <c r="H152" i="2"/>
  <c r="D152" i="2"/>
  <c r="J151" i="2"/>
  <c r="H151" i="2"/>
  <c r="D151" i="2"/>
  <c r="J150" i="2"/>
  <c r="H150" i="2"/>
  <c r="D150" i="2"/>
  <c r="J149" i="2"/>
  <c r="H149" i="2"/>
  <c r="D149" i="2"/>
  <c r="J148" i="2"/>
  <c r="H148" i="2"/>
  <c r="D148" i="2"/>
  <c r="J147" i="2"/>
  <c r="H147" i="2"/>
  <c r="D147" i="2"/>
  <c r="J146" i="2"/>
  <c r="H146" i="2"/>
  <c r="D146" i="2"/>
  <c r="J145" i="2"/>
  <c r="H145" i="2"/>
  <c r="D145" i="2"/>
  <c r="J144" i="2"/>
  <c r="H144" i="2"/>
  <c r="D144" i="2"/>
  <c r="J143" i="2"/>
  <c r="H143" i="2"/>
  <c r="D143" i="2"/>
  <c r="J142" i="2"/>
  <c r="H142" i="2"/>
  <c r="D142" i="2"/>
  <c r="J141" i="2"/>
  <c r="H141" i="2"/>
  <c r="D141" i="2"/>
  <c r="J140" i="2"/>
  <c r="H140" i="2"/>
  <c r="D140" i="2"/>
  <c r="J139" i="2"/>
  <c r="H139" i="2"/>
  <c r="D139" i="2"/>
  <c r="J138" i="2"/>
  <c r="H138" i="2"/>
  <c r="D138" i="2"/>
  <c r="J137" i="2"/>
  <c r="H137" i="2"/>
  <c r="D137" i="2"/>
  <c r="J136" i="2"/>
  <c r="H136" i="2"/>
  <c r="D136" i="2"/>
  <c r="J135" i="2"/>
  <c r="H135" i="2"/>
  <c r="D135" i="2"/>
  <c r="J134" i="2"/>
  <c r="H134" i="2"/>
  <c r="D134" i="2"/>
  <c r="J133" i="2"/>
  <c r="H133" i="2"/>
  <c r="D133" i="2"/>
  <c r="J132" i="2"/>
  <c r="H132" i="2"/>
  <c r="D132" i="2"/>
  <c r="J131" i="2"/>
  <c r="H131" i="2"/>
  <c r="D131" i="2"/>
  <c r="J130" i="2"/>
  <c r="H130" i="2"/>
  <c r="D130" i="2"/>
  <c r="J129" i="2"/>
  <c r="H129" i="2"/>
  <c r="D129" i="2"/>
  <c r="J128" i="2"/>
  <c r="H128" i="2"/>
  <c r="D128" i="2"/>
  <c r="J127" i="2"/>
  <c r="H127" i="2"/>
  <c r="D127" i="2"/>
  <c r="J126" i="2"/>
  <c r="H126" i="2"/>
  <c r="D126" i="2"/>
  <c r="J125" i="2"/>
  <c r="H125" i="2"/>
  <c r="D125" i="2"/>
  <c r="J124" i="2"/>
  <c r="H124" i="2"/>
  <c r="D124" i="2"/>
  <c r="J123" i="2"/>
  <c r="H123" i="2"/>
  <c r="D123" i="2"/>
  <c r="J122" i="2"/>
  <c r="H122" i="2"/>
  <c r="D122" i="2"/>
  <c r="J121" i="2"/>
  <c r="H121" i="2"/>
  <c r="D121" i="2"/>
  <c r="J120" i="2"/>
  <c r="H120" i="2"/>
  <c r="D120" i="2"/>
  <c r="J119" i="2"/>
  <c r="H119" i="2"/>
  <c r="D119" i="2"/>
  <c r="J118" i="2"/>
  <c r="H118" i="2"/>
  <c r="D118" i="2"/>
  <c r="J117" i="2"/>
  <c r="H117" i="2"/>
  <c r="D117" i="2"/>
  <c r="J116" i="2"/>
  <c r="H116" i="2"/>
  <c r="D116" i="2"/>
  <c r="J115" i="2"/>
  <c r="H115" i="2"/>
  <c r="D115" i="2"/>
  <c r="J114" i="2"/>
  <c r="H114" i="2"/>
  <c r="D114" i="2"/>
  <c r="J113" i="2"/>
  <c r="H113" i="2"/>
  <c r="D113" i="2"/>
  <c r="J112" i="2"/>
  <c r="H112" i="2"/>
  <c r="D112" i="2"/>
  <c r="J111" i="2"/>
  <c r="H111" i="2"/>
  <c r="D111" i="2"/>
  <c r="J110" i="2"/>
  <c r="H110" i="2"/>
  <c r="D110" i="2"/>
  <c r="J109" i="2"/>
  <c r="H109" i="2"/>
  <c r="D109" i="2"/>
  <c r="J108" i="2"/>
  <c r="H108" i="2"/>
  <c r="D108" i="2"/>
  <c r="J107" i="2"/>
  <c r="H107" i="2"/>
  <c r="D107" i="2"/>
  <c r="J106" i="2"/>
  <c r="H106" i="2"/>
  <c r="D106" i="2"/>
  <c r="J105" i="2"/>
  <c r="H105" i="2"/>
  <c r="D105" i="2"/>
  <c r="J104" i="2"/>
  <c r="H104" i="2"/>
  <c r="D104" i="2"/>
  <c r="J103" i="2"/>
  <c r="H103" i="2"/>
  <c r="D103" i="2"/>
  <c r="J102" i="2"/>
  <c r="H102" i="2"/>
  <c r="D102" i="2"/>
  <c r="J101" i="2"/>
  <c r="H101" i="2"/>
  <c r="D101" i="2"/>
  <c r="J100" i="2"/>
  <c r="H100" i="2"/>
  <c r="D100" i="2"/>
  <c r="J99" i="2"/>
  <c r="H99" i="2"/>
  <c r="D99" i="2"/>
  <c r="J98" i="2"/>
  <c r="H98" i="2"/>
  <c r="D98" i="2"/>
  <c r="J97" i="2"/>
  <c r="H97" i="2"/>
  <c r="D97" i="2"/>
  <c r="J96" i="2"/>
  <c r="H96" i="2"/>
  <c r="D96" i="2"/>
  <c r="J95" i="2"/>
  <c r="H95" i="2"/>
  <c r="D95" i="2"/>
  <c r="J94" i="2"/>
  <c r="H94" i="2"/>
  <c r="D94" i="2"/>
  <c r="J93" i="2"/>
  <c r="H93" i="2"/>
  <c r="D93" i="2"/>
  <c r="J92" i="2"/>
  <c r="H92" i="2"/>
  <c r="D92" i="2"/>
  <c r="J91" i="2"/>
  <c r="H91" i="2"/>
  <c r="D91" i="2"/>
  <c r="J90" i="2"/>
  <c r="H90" i="2"/>
  <c r="D90" i="2"/>
  <c r="J89" i="2"/>
  <c r="H89" i="2"/>
  <c r="D89" i="2"/>
  <c r="J88" i="2"/>
  <c r="H88" i="2"/>
  <c r="D88" i="2"/>
  <c r="J87" i="2"/>
  <c r="H87" i="2"/>
  <c r="D87" i="2"/>
  <c r="J86" i="2"/>
  <c r="H86" i="2"/>
  <c r="D86" i="2"/>
  <c r="J85" i="2"/>
  <c r="H85" i="2"/>
  <c r="D85" i="2"/>
  <c r="J84" i="2"/>
  <c r="H84" i="2"/>
  <c r="D84" i="2"/>
  <c r="J83" i="2"/>
  <c r="H83" i="2"/>
  <c r="D83" i="2"/>
  <c r="J82" i="2"/>
  <c r="H82" i="2"/>
  <c r="D82" i="2"/>
  <c r="J81" i="2"/>
  <c r="H81" i="2"/>
  <c r="D81" i="2"/>
  <c r="J80" i="2"/>
  <c r="H80" i="2"/>
  <c r="D80" i="2"/>
  <c r="J79" i="2"/>
  <c r="H79" i="2"/>
  <c r="D79" i="2"/>
  <c r="J78" i="2"/>
  <c r="H78" i="2"/>
  <c r="D78" i="2"/>
  <c r="J77" i="2"/>
  <c r="H77" i="2"/>
  <c r="D77" i="2"/>
  <c r="J76" i="2"/>
  <c r="H76" i="2"/>
  <c r="D76" i="2"/>
  <c r="J75" i="2"/>
  <c r="H75" i="2"/>
  <c r="D75" i="2"/>
  <c r="J74" i="2"/>
  <c r="H74" i="2"/>
  <c r="D74" i="2"/>
  <c r="J73" i="2"/>
  <c r="H73" i="2"/>
  <c r="D73" i="2"/>
  <c r="J72" i="2"/>
  <c r="H72" i="2"/>
  <c r="D72" i="2"/>
  <c r="J71" i="2"/>
  <c r="H71" i="2"/>
  <c r="D71" i="2"/>
  <c r="J70" i="2"/>
  <c r="H70" i="2"/>
  <c r="D70" i="2"/>
  <c r="J69" i="2"/>
  <c r="H69" i="2"/>
  <c r="D69" i="2"/>
  <c r="J68" i="2"/>
  <c r="H68" i="2"/>
  <c r="D68" i="2"/>
  <c r="J67" i="2"/>
  <c r="H67" i="2"/>
  <c r="D67" i="2"/>
  <c r="J66" i="2"/>
  <c r="H66" i="2"/>
  <c r="D66" i="2"/>
  <c r="J65" i="2"/>
  <c r="H65" i="2"/>
  <c r="D65" i="2"/>
  <c r="J64" i="2"/>
  <c r="H64" i="2"/>
  <c r="D64" i="2"/>
  <c r="J63" i="2"/>
  <c r="H63" i="2"/>
  <c r="D63" i="2"/>
  <c r="J62" i="2"/>
  <c r="H62" i="2"/>
  <c r="D62" i="2"/>
  <c r="J61" i="2"/>
  <c r="H61" i="2"/>
  <c r="D61" i="2"/>
  <c r="J60" i="2"/>
  <c r="H60" i="2"/>
  <c r="D60" i="2"/>
  <c r="J59" i="2"/>
  <c r="H59" i="2"/>
  <c r="D59" i="2"/>
  <c r="J58" i="2"/>
  <c r="H58" i="2"/>
  <c r="D58" i="2"/>
  <c r="J57" i="2"/>
  <c r="H57" i="2"/>
  <c r="D57" i="2"/>
  <c r="J56" i="2"/>
  <c r="H56" i="2"/>
  <c r="D56" i="2"/>
  <c r="J55" i="2"/>
  <c r="H55" i="2"/>
  <c r="D55" i="2"/>
  <c r="J54" i="2"/>
  <c r="H54" i="2"/>
  <c r="D54" i="2"/>
  <c r="J53" i="2"/>
  <c r="H53" i="2"/>
  <c r="D53" i="2"/>
  <c r="J52" i="2"/>
  <c r="H52" i="2"/>
  <c r="D52" i="2"/>
  <c r="J51" i="2"/>
  <c r="H51" i="2"/>
  <c r="D51" i="2"/>
  <c r="J50" i="2"/>
  <c r="H50" i="2"/>
  <c r="D50" i="2"/>
  <c r="J49" i="2"/>
  <c r="H49" i="2"/>
  <c r="D49" i="2"/>
  <c r="J48" i="2"/>
  <c r="H48" i="2"/>
  <c r="D48" i="2"/>
  <c r="J47" i="2"/>
  <c r="H47" i="2"/>
  <c r="D47" i="2"/>
  <c r="J46" i="2"/>
  <c r="H46" i="2"/>
  <c r="D46" i="2"/>
  <c r="J45" i="2"/>
  <c r="H45" i="2"/>
  <c r="D45" i="2"/>
  <c r="J44" i="2"/>
  <c r="H44" i="2"/>
  <c r="D44" i="2"/>
  <c r="J43" i="2"/>
  <c r="H43" i="2"/>
  <c r="D43" i="2"/>
  <c r="J42" i="2"/>
  <c r="H42" i="2"/>
  <c r="D42" i="2"/>
  <c r="J41" i="2"/>
  <c r="H41" i="2"/>
  <c r="D41" i="2"/>
  <c r="J40" i="2"/>
  <c r="H40" i="2"/>
  <c r="D40" i="2"/>
  <c r="J39" i="2"/>
  <c r="H39" i="2"/>
  <c r="D39" i="2"/>
  <c r="J38" i="2"/>
  <c r="H38" i="2"/>
  <c r="D38" i="2"/>
  <c r="J37" i="2"/>
  <c r="H37" i="2"/>
  <c r="D37" i="2"/>
  <c r="J36" i="2"/>
  <c r="H36" i="2"/>
  <c r="D36" i="2"/>
  <c r="J35" i="2"/>
  <c r="H35" i="2"/>
  <c r="D35" i="2"/>
  <c r="J34" i="2"/>
  <c r="H34" i="2"/>
  <c r="D34" i="2"/>
  <c r="J33" i="2"/>
  <c r="H33" i="2"/>
  <c r="D33" i="2"/>
  <c r="J32" i="2"/>
  <c r="H32" i="2"/>
  <c r="D32" i="2"/>
  <c r="J31" i="2"/>
  <c r="H31" i="2"/>
  <c r="D31" i="2"/>
  <c r="J30" i="2"/>
  <c r="H30" i="2"/>
  <c r="D30" i="2"/>
  <c r="J29" i="2"/>
  <c r="H29" i="2"/>
  <c r="D29" i="2"/>
  <c r="J28" i="2"/>
  <c r="H28" i="2"/>
  <c r="D28" i="2"/>
  <c r="J27" i="2"/>
  <c r="H27" i="2"/>
  <c r="D27" i="2"/>
  <c r="J26" i="2"/>
  <c r="H26" i="2"/>
  <c r="D26" i="2"/>
  <c r="J25" i="2"/>
  <c r="H25" i="2"/>
  <c r="D25" i="2"/>
  <c r="J24" i="2"/>
  <c r="H24" i="2"/>
  <c r="D24" i="2"/>
  <c r="J23" i="2"/>
  <c r="H23" i="2"/>
  <c r="D23" i="2"/>
  <c r="J22" i="2"/>
  <c r="H22" i="2"/>
  <c r="D22" i="2"/>
  <c r="N21" i="2"/>
  <c r="J21" i="2"/>
  <c r="H21" i="2"/>
  <c r="D21" i="2"/>
  <c r="N20" i="2"/>
  <c r="J20" i="2"/>
  <c r="H20" i="2"/>
  <c r="D20" i="2"/>
  <c r="N19" i="2"/>
  <c r="J19" i="2"/>
  <c r="H19" i="2"/>
  <c r="D19" i="2"/>
  <c r="N18" i="2"/>
  <c r="J18" i="2"/>
  <c r="H18" i="2"/>
  <c r="D18" i="2"/>
  <c r="J17" i="2"/>
  <c r="H17" i="2"/>
  <c r="D17" i="2"/>
  <c r="J16" i="2"/>
  <c r="H16" i="2"/>
  <c r="D16" i="2"/>
  <c r="J15" i="2"/>
  <c r="H15" i="2"/>
  <c r="D15" i="2"/>
  <c r="J14" i="2"/>
  <c r="H14" i="2"/>
  <c r="D14" i="2"/>
  <c r="J13" i="2"/>
  <c r="H13" i="2"/>
  <c r="D13" i="2"/>
  <c r="J12" i="2"/>
  <c r="H12" i="2"/>
  <c r="D12" i="2"/>
  <c r="J11" i="2"/>
  <c r="H11" i="2"/>
  <c r="D11" i="2"/>
  <c r="J10" i="2"/>
  <c r="H10" i="2"/>
  <c r="D10" i="2"/>
  <c r="J9" i="2"/>
  <c r="H9" i="2"/>
  <c r="D9" i="2"/>
  <c r="J8" i="2"/>
  <c r="H8" i="2"/>
  <c r="D8" i="2"/>
  <c r="J7" i="2"/>
  <c r="H7" i="2"/>
  <c r="D7" i="2"/>
  <c r="J6" i="2"/>
  <c r="H6" i="2"/>
  <c r="D6" i="2"/>
  <c r="N5" i="2"/>
  <c r="J5" i="2"/>
  <c r="H5" i="2"/>
  <c r="D5" i="2"/>
  <c r="J4" i="2"/>
  <c r="H4" i="2"/>
  <c r="D4" i="2"/>
  <c r="J3" i="2"/>
  <c r="D3" i="2"/>
  <c r="D2" i="2"/>
  <c r="B18" i="3"/>
  <c r="I6" i="3"/>
  <c r="N13" i="2" l="1"/>
  <c r="F19" i="2"/>
  <c r="F12" i="2"/>
  <c r="F11" i="2"/>
  <c r="F10" i="2"/>
  <c r="F9" i="2"/>
  <c r="F8" i="2"/>
  <c r="F7" i="2"/>
  <c r="F6" i="2"/>
  <c r="F3" i="2"/>
  <c r="F550" i="2"/>
  <c r="F549" i="2"/>
  <c r="F548" i="2"/>
  <c r="F547" i="2"/>
  <c r="F546" i="2"/>
  <c r="F545" i="2"/>
  <c r="F544" i="2"/>
  <c r="F543" i="2"/>
  <c r="F542" i="2"/>
  <c r="F541" i="2"/>
  <c r="F540" i="2"/>
  <c r="F539" i="2"/>
  <c r="F538" i="2"/>
  <c r="F537" i="2"/>
  <c r="F536" i="2"/>
  <c r="F535" i="2"/>
  <c r="F534" i="2"/>
  <c r="F533" i="2"/>
  <c r="F532" i="2"/>
  <c r="F531" i="2"/>
  <c r="F530" i="2"/>
  <c r="F529" i="2"/>
  <c r="F528" i="2"/>
  <c r="F527" i="2"/>
  <c r="F526" i="2"/>
  <c r="F525" i="2"/>
  <c r="F524" i="2"/>
  <c r="F523" i="2"/>
  <c r="F522" i="2"/>
  <c r="F521" i="2"/>
  <c r="F520" i="2"/>
  <c r="F519" i="2"/>
  <c r="F518" i="2"/>
  <c r="F517" i="2"/>
  <c r="F516" i="2"/>
  <c r="F515" i="2"/>
  <c r="F514" i="2"/>
  <c r="F513" i="2"/>
  <c r="F512" i="2"/>
  <c r="F511" i="2"/>
  <c r="F510" i="2"/>
  <c r="F509" i="2"/>
  <c r="F508" i="2"/>
  <c r="F507" i="2"/>
  <c r="F506" i="2"/>
  <c r="F505" i="2"/>
  <c r="F504" i="2"/>
  <c r="F503" i="2"/>
  <c r="F502" i="2"/>
  <c r="F501" i="2"/>
  <c r="F500" i="2"/>
  <c r="F499" i="2"/>
  <c r="F498" i="2"/>
  <c r="F497" i="2"/>
  <c r="F496" i="2"/>
  <c r="F495" i="2"/>
  <c r="F494" i="2"/>
  <c r="F493" i="2"/>
  <c r="F492" i="2"/>
  <c r="F490" i="2"/>
  <c r="F489" i="2"/>
  <c r="F488" i="2"/>
  <c r="F487" i="2"/>
  <c r="F486" i="2"/>
  <c r="F485" i="2"/>
  <c r="F484" i="2"/>
  <c r="F482" i="2"/>
  <c r="F480" i="2"/>
  <c r="F478" i="2"/>
  <c r="F460" i="2"/>
  <c r="F457" i="2"/>
  <c r="F456" i="2"/>
  <c r="F454" i="2"/>
  <c r="F452" i="2"/>
  <c r="F450" i="2"/>
  <c r="F551" i="2"/>
  <c r="F491" i="2"/>
  <c r="F483" i="2"/>
  <c r="F481" i="2"/>
  <c r="F479" i="2"/>
  <c r="F477" i="2"/>
  <c r="F476" i="2"/>
  <c r="F475" i="2"/>
  <c r="F474" i="2"/>
  <c r="F473" i="2"/>
  <c r="F472" i="2"/>
  <c r="F471" i="2"/>
  <c r="F470" i="2"/>
  <c r="F469" i="2"/>
  <c r="F468" i="2"/>
  <c r="F467" i="2"/>
  <c r="F466" i="2"/>
  <c r="F465" i="2"/>
  <c r="F464" i="2"/>
  <c r="F463" i="2"/>
  <c r="F462" i="2"/>
  <c r="F461" i="2"/>
  <c r="F459" i="2"/>
  <c r="F458" i="2"/>
  <c r="F455" i="2"/>
  <c r="F453" i="2"/>
  <c r="F451" i="2"/>
  <c r="F449" i="2"/>
  <c r="F21" i="2" l="1"/>
  <c r="F20" i="2"/>
  <c r="F5" i="2"/>
  <c r="F4" i="2"/>
  <c r="F2" i="2"/>
  <c r="F414" i="2"/>
  <c r="F391" i="2"/>
  <c r="F388" i="2"/>
  <c r="F386" i="2"/>
  <c r="F384" i="2"/>
  <c r="F382" i="2"/>
  <c r="F380" i="2"/>
  <c r="F378" i="2"/>
  <c r="F376" i="2"/>
  <c r="F374" i="2"/>
  <c r="F372" i="2"/>
  <c r="F370" i="2"/>
  <c r="F368" i="2"/>
  <c r="F366" i="2"/>
  <c r="F364" i="2"/>
  <c r="F362" i="2"/>
  <c r="F360" i="2"/>
  <c r="F358" i="2"/>
  <c r="F356" i="2"/>
  <c r="F354" i="2"/>
  <c r="F353" i="2"/>
  <c r="F351" i="2"/>
  <c r="F349" i="2"/>
  <c r="F347" i="2"/>
  <c r="F345" i="2"/>
  <c r="F343" i="2"/>
  <c r="F341" i="2"/>
  <c r="F18" i="2"/>
  <c r="F17" i="2"/>
  <c r="F16" i="2"/>
  <c r="F15" i="2"/>
  <c r="F448" i="2"/>
  <c r="F447" i="2"/>
  <c r="F446" i="2"/>
  <c r="F445" i="2"/>
  <c r="F444" i="2"/>
  <c r="F443" i="2"/>
  <c r="F442" i="2"/>
  <c r="F441" i="2"/>
  <c r="F440" i="2"/>
  <c r="F439" i="2"/>
  <c r="F438" i="2"/>
  <c r="F437" i="2"/>
  <c r="F436" i="2"/>
  <c r="F435" i="2"/>
  <c r="F434" i="2"/>
  <c r="F433" i="2"/>
  <c r="F432" i="2"/>
  <c r="F431" i="2"/>
  <c r="F430" i="2"/>
  <c r="F429" i="2"/>
  <c r="F428" i="2"/>
  <c r="F427" i="2"/>
  <c r="F426" i="2"/>
  <c r="F425" i="2"/>
  <c r="F424" i="2"/>
  <c r="F423" i="2"/>
  <c r="F422" i="2"/>
  <c r="F421" i="2"/>
  <c r="F420" i="2"/>
  <c r="F419" i="2"/>
  <c r="F418" i="2"/>
  <c r="F417" i="2"/>
  <c r="F416" i="2"/>
  <c r="F415" i="2"/>
  <c r="F413" i="2"/>
  <c r="F412" i="2"/>
  <c r="F411" i="2"/>
  <c r="F410" i="2"/>
  <c r="F409" i="2"/>
  <c r="F408" i="2"/>
  <c r="F407" i="2"/>
  <c r="F406" i="2"/>
  <c r="F405" i="2"/>
  <c r="F404" i="2"/>
  <c r="F403" i="2"/>
  <c r="F402" i="2"/>
  <c r="F401" i="2"/>
  <c r="F400" i="2"/>
  <c r="F399" i="2"/>
  <c r="F398" i="2"/>
  <c r="F397" i="2"/>
  <c r="F396" i="2"/>
  <c r="F395" i="2"/>
  <c r="F394" i="2"/>
  <c r="F393" i="2"/>
  <c r="F392" i="2"/>
  <c r="F390" i="2"/>
  <c r="F389" i="2"/>
  <c r="F387" i="2"/>
  <c r="F385" i="2"/>
  <c r="F383" i="2"/>
  <c r="F381" i="2"/>
  <c r="F379" i="2"/>
  <c r="F377" i="2"/>
  <c r="F375" i="2"/>
  <c r="F373" i="2"/>
  <c r="F371" i="2"/>
  <c r="F369" i="2"/>
  <c r="F367" i="2"/>
  <c r="F365" i="2"/>
  <c r="F363" i="2"/>
  <c r="F361" i="2"/>
  <c r="F359" i="2"/>
  <c r="F357" i="2"/>
  <c r="F355" i="2"/>
  <c r="F352" i="2"/>
  <c r="F350" i="2"/>
  <c r="F348" i="2"/>
  <c r="F346" i="2"/>
  <c r="F344" i="2"/>
  <c r="F342" i="2"/>
  <c r="F340" i="2"/>
  <c r="F339" i="2"/>
  <c r="F338" i="2"/>
  <c r="F337" i="2"/>
  <c r="F336" i="2"/>
  <c r="F335" i="2"/>
  <c r="F334" i="2"/>
  <c r="F333" i="2"/>
  <c r="F332" i="2"/>
  <c r="F331" i="2"/>
  <c r="F330" i="2"/>
  <c r="F329" i="2"/>
  <c r="F328" i="2"/>
  <c r="F327" i="2"/>
  <c r="F326" i="2"/>
  <c r="F325" i="2"/>
  <c r="F324" i="2"/>
  <c r="F323" i="2"/>
  <c r="F322" i="2"/>
  <c r="F321" i="2"/>
  <c r="F320" i="2"/>
  <c r="F319" i="2"/>
  <c r="F318" i="2"/>
  <c r="F317" i="2"/>
  <c r="F316" i="2"/>
  <c r="F315" i="2"/>
  <c r="F314" i="2"/>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F270" i="2"/>
  <c r="F269" i="2"/>
  <c r="F268" i="2"/>
  <c r="F267" i="2"/>
  <c r="F266" i="2"/>
  <c r="F265" i="2"/>
  <c r="F264" i="2"/>
  <c r="F263" i="2"/>
  <c r="F262" i="2"/>
  <c r="F261" i="2"/>
  <c r="F260" i="2"/>
  <c r="F259" i="2"/>
  <c r="F258" i="2"/>
  <c r="F257" i="2"/>
  <c r="F256" i="2"/>
  <c r="F14" i="2"/>
  <c r="F13" i="2"/>
  <c r="F255" i="2"/>
  <c r="F254" i="2"/>
  <c r="F253" i="2"/>
  <c r="F252" i="2"/>
  <c r="F251" i="2"/>
  <c r="F250" i="2"/>
  <c r="F249" i="2"/>
  <c r="F248" i="2"/>
  <c r="F247" i="2"/>
  <c r="F246" i="2"/>
  <c r="F245" i="2"/>
  <c r="F244" i="2"/>
  <c r="F243" i="2"/>
  <c r="F242" i="2"/>
  <c r="F241" i="2"/>
  <c r="F240" i="2"/>
  <c r="F239" i="2"/>
  <c r="F238" i="2"/>
  <c r="F237" i="2"/>
  <c r="F236" i="2"/>
  <c r="F235" i="2"/>
  <c r="F234" i="2"/>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2" description="Connection to the 'Table2' query in the workbook." type="5" refreshedVersion="7" background="1" saveData="1">
    <dbPr connection="Provider=Microsoft.Mashup.OleDb.1;Data Source=$Workbook$;Location=Table2;Extended Properties=&quot;&quot;" command="SELECT * FROM [Table2]"/>
  </connection>
  <connection id="2" xr16:uid="{7A44D6CF-DB47-4784-A107-835E787D2AE6}"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0000000-0015-0000-FFFF-FFFF02000000}" name="WorksheetConnection_bestsellers with categories.xlsm!Table2_2" type="102" refreshedVersion="7" minRefreshableVersion="5">
    <extLst>
      <ext xmlns:x15="http://schemas.microsoft.com/office/spreadsheetml/2010/11/main" uri="{DE250136-89BD-433C-8126-D09CA5730AF9}">
        <x15:connection id="Table2_2" autoDelete="1">
          <x15:rangePr sourceName="_xlcn.WorksheetConnection_bestsellerswithcategories.xlsmTable2_2"/>
        </x15:connection>
      </ext>
    </extLst>
  </connection>
</connections>
</file>

<file path=xl/sharedStrings.xml><?xml version="1.0" encoding="utf-8"?>
<sst xmlns="http://schemas.openxmlformats.org/spreadsheetml/2006/main" count="2188" uniqueCount="660">
  <si>
    <t>Name</t>
  </si>
  <si>
    <t>Author</t>
  </si>
  <si>
    <t>Reviews</t>
  </si>
  <si>
    <t>Price</t>
  </si>
  <si>
    <t>Year</t>
  </si>
  <si>
    <t>Genre</t>
  </si>
  <si>
    <t>10-Day Green Smoothie Cleanse</t>
  </si>
  <si>
    <t>JJ Smith</t>
  </si>
  <si>
    <t>Non Fiction</t>
  </si>
  <si>
    <t>11/22/63: A Novel</t>
  </si>
  <si>
    <t>Stephen King</t>
  </si>
  <si>
    <t>Fiction</t>
  </si>
  <si>
    <t>12 Rules for Life: An Antidote to Chaos</t>
  </si>
  <si>
    <t>Jordan B. Peterson</t>
  </si>
  <si>
    <t>1984 (Signet Classics)</t>
  </si>
  <si>
    <t>George Orwell</t>
  </si>
  <si>
    <t>5,000 Awesome Facts (About Everything!) (National Geographic Kids)</t>
  </si>
  <si>
    <t>National Geographic Kids</t>
  </si>
  <si>
    <t>A Dance with Dragons (A Song of Ice and Fire)</t>
  </si>
  <si>
    <t>George R. R. Martin</t>
  </si>
  <si>
    <t>A Game of Thrones / A Clash of Kings / A Storm of Swords / A Feast of Crows / A Dance with Dragons</t>
  </si>
  <si>
    <t>A Gentleman in Moscow: A Novel</t>
  </si>
  <si>
    <t>Amor Towles</t>
  </si>
  <si>
    <t>A Higher Loyalty: Truth, Lies, and Leadership</t>
  </si>
  <si>
    <t>James Comey</t>
  </si>
  <si>
    <t>A Man Called Ove: A Novel</t>
  </si>
  <si>
    <t>Fredrik Backman</t>
  </si>
  <si>
    <t>A Patriot's History of the United States: From Columbus's Great Discovery to the War on Terror</t>
  </si>
  <si>
    <t>Larry Schweikart</t>
  </si>
  <si>
    <t>A Stolen Life: A Memoir</t>
  </si>
  <si>
    <t>Jaycee Dugard</t>
  </si>
  <si>
    <t>A Wrinkle in Time (Time Quintet)</t>
  </si>
  <si>
    <t>Madeleine L'Engle</t>
  </si>
  <si>
    <t>Act Like a Lady, Think Like a Man: What Men Really Think About Love, Relationships, Intimacy, and Commitment</t>
  </si>
  <si>
    <t>Steve Harvey</t>
  </si>
  <si>
    <t>Adult Coloring Book Designs: Stress Relief Coloring Book: Garden Designs, Mandalas, Animals, and Paisley Patterns</t>
  </si>
  <si>
    <t>Adult Coloring Book Designs</t>
  </si>
  <si>
    <t>Adult Coloring Book: Stress Relieving Animal Designs</t>
  </si>
  <si>
    <t>Blue Star Coloring</t>
  </si>
  <si>
    <t>Adult Coloring Book: Stress Relieving Patterns</t>
  </si>
  <si>
    <t>Adult Coloring Books: A Coloring Book for Adults Featuring Mandalas and Henna Inspired Flowers, Animals, and Paisleyâ€¦</t>
  </si>
  <si>
    <t>Coloring Books for Adults</t>
  </si>
  <si>
    <t>Alexander Hamilton</t>
  </si>
  <si>
    <t>Ron Chernow</t>
  </si>
  <si>
    <t>All the Light We Cannot See</t>
  </si>
  <si>
    <t>Anthony Doerr</t>
  </si>
  <si>
    <t>Allegiant</t>
  </si>
  <si>
    <t>Veronica Roth</t>
  </si>
  <si>
    <t>American Sniper: The Autobiography of the Most Lethal Sniper in U.S. Military History</t>
  </si>
  <si>
    <t>Chris Kyle</t>
  </si>
  <si>
    <t>And the Mountains Echoed</t>
  </si>
  <si>
    <t>Khaled Hosseini</t>
  </si>
  <si>
    <t>Arguing with Idiots: How to Stop Small Minds and Big Government</t>
  </si>
  <si>
    <t>Glenn Beck</t>
  </si>
  <si>
    <t>Astrophysics for People in a Hurry</t>
  </si>
  <si>
    <t>Neil deGrasse Tyson</t>
  </si>
  <si>
    <t>Autobiography of Mark Twain, Vol. 1</t>
  </si>
  <si>
    <t>Mark Twain</t>
  </si>
  <si>
    <t>Baby Touch and Feel: Animals</t>
  </si>
  <si>
    <t>DK</t>
  </si>
  <si>
    <t>Balance (Angie's Extreme Stress Menders)</t>
  </si>
  <si>
    <t>Angie Grace</t>
  </si>
  <si>
    <t>Barefoot Contessa Foolproof: Recipes You Can Trust: A Cookbook</t>
  </si>
  <si>
    <t>Ina Garten</t>
  </si>
  <si>
    <t>Barefoot Contessa, How Easy Is That?: Fabulous Recipes &amp; Easy Tips</t>
  </si>
  <si>
    <t>Becoming</t>
  </si>
  <si>
    <t>Michelle Obama</t>
  </si>
  <si>
    <t>Being Mortal: Medicine and What Matters in the End</t>
  </si>
  <si>
    <t>Atul Gawande</t>
  </si>
  <si>
    <t>Between the World and Me</t>
  </si>
  <si>
    <t>Ta-Nehisi Coates</t>
  </si>
  <si>
    <t>Born to Run</t>
  </si>
  <si>
    <t>Bruce Springsteen</t>
  </si>
  <si>
    <t>Breaking Dawn (The Twilight Saga, Book 4)</t>
  </si>
  <si>
    <t>Stephenie Meyer</t>
  </si>
  <si>
    <t>Broke: The Plan to Restore Our Trust, Truth and Treasure</t>
  </si>
  <si>
    <t>Brown Bear, Brown Bear, What Do You See?</t>
  </si>
  <si>
    <t>Bill Martin Jr.</t>
  </si>
  <si>
    <t>Cabin Fever (Diary of a Wimpy Kid, Book 6)</t>
  </si>
  <si>
    <t>Jeff Kinney</t>
  </si>
  <si>
    <t>Calm the F*ck Down: An Irreverent Adult Coloring Book (Irreverent Book Series)</t>
  </si>
  <si>
    <t>Sasha O'Hara</t>
  </si>
  <si>
    <t>Can't Hurt Me: Master Your Mind and Defy the Odds</t>
  </si>
  <si>
    <t>David Goggins</t>
  </si>
  <si>
    <t>Capital in the Twenty First Century</t>
  </si>
  <si>
    <t>Thomas Piketty</t>
  </si>
  <si>
    <t>Catching Fire (The Hunger Games)</t>
  </si>
  <si>
    <t>Suzanne Collins</t>
  </si>
  <si>
    <t>Cravings: Recipes for All the Food You Want to Eat: A Cookbook</t>
  </si>
  <si>
    <t>Chrissy Teigen</t>
  </si>
  <si>
    <t>Crazy Love: Overwhelmed by a Relentless God</t>
  </si>
  <si>
    <t>Francis Chan</t>
  </si>
  <si>
    <t>Crazy Rich Asians (Crazy Rich Asians Trilogy)</t>
  </si>
  <si>
    <t>Kevin Kwan</t>
  </si>
  <si>
    <t>Creative Haven Creative Cats Coloring Book (Adult Coloring)</t>
  </si>
  <si>
    <t>Marjorie Sarnat</t>
  </si>
  <si>
    <t>Creative Haven Owls Coloring Book (Adult Coloring)</t>
  </si>
  <si>
    <t>Cutting for Stone</t>
  </si>
  <si>
    <t>Abraham Verghese</t>
  </si>
  <si>
    <t>Daring Greatly: How the Courage to Be Vulnerable Transforms the Way We Live, Love, Parent, and Lead</t>
  </si>
  <si>
    <t>BreneÌ Brown</t>
  </si>
  <si>
    <t>David and Goliath: Underdogs, Misfits, and the Art of Battling Giants</t>
  </si>
  <si>
    <t>Malcolm Gladwell</t>
  </si>
  <si>
    <t>Dead And Gone: A Sookie Stackhouse Novel (Sookie Stackhouse/True Blood)</t>
  </si>
  <si>
    <t>Charlaine Harris</t>
  </si>
  <si>
    <t>Dead in the Family (Sookie Stackhouse/True Blood, Book 10)</t>
  </si>
  <si>
    <t>Dead Reckoning (Sookie Stackhouse/True Blood, Book 11)</t>
  </si>
  <si>
    <t>Dear Zoo: A Lift-the-Flap Book</t>
  </si>
  <si>
    <t>Rod Campbell</t>
  </si>
  <si>
    <t>Decision Points</t>
  </si>
  <si>
    <t>George W. Bush</t>
  </si>
  <si>
    <t>Delivering Happiness: A Path to Profits, Passion, and Purpose</t>
  </si>
  <si>
    <t>Tony Hsieh</t>
  </si>
  <si>
    <t>Diagnostic and Statistical Manual of Mental Disorders, 5th Edition: DSM-5</t>
  </si>
  <si>
    <t>American Psychiatric Association</t>
  </si>
  <si>
    <t>Diary of a Wimpy Kid: Hard Luck, Book 8</t>
  </si>
  <si>
    <t>Diary of a Wimpy Kid: The Last Straw (Book 3)</t>
  </si>
  <si>
    <t>Diary of a Wimpy Kid: The Long Haul</t>
  </si>
  <si>
    <t>Difficult Riddles For Smart Kids: 300 Difficult Riddles And Brain Teasers Families Will Love (Books for Smart Kids)</t>
  </si>
  <si>
    <t>M Prefontaine</t>
  </si>
  <si>
    <t>Divergent</t>
  </si>
  <si>
    <t>Divergent / Insurgent</t>
  </si>
  <si>
    <t>Divine Soul Mind Body Healing and Transmission System: The Divine Way to Heal You, Humanity, Mother Earth, and Allâ€¦</t>
  </si>
  <si>
    <t>Zhi Gang Sha</t>
  </si>
  <si>
    <t>Doctor Sleep: A Novel</t>
  </si>
  <si>
    <t>Dog Days (Diary of a Wimpy Kid, Book 4) (Volume 4)</t>
  </si>
  <si>
    <t>Dog Man and Cat Kid: From the Creator of Captain Underpants (Dog Man #4)</t>
  </si>
  <si>
    <t>Dav Pilkey</t>
  </si>
  <si>
    <t>Dog Man: A Tale of Two Kitties: From the Creator of Captain Underpants (Dog Man #3)</t>
  </si>
  <si>
    <t>Dog Man: Brawl of the Wild: From the Creator of Captain Underpants (Dog Man #6)</t>
  </si>
  <si>
    <t>Dog Man: Fetch-22: From the Creator of Captain Underpants (Dog Man #8)</t>
  </si>
  <si>
    <t>Dog Man: For Whom the Ball Rolls: From the Creator of Captain Underpants (Dog Man #7)</t>
  </si>
  <si>
    <t>Dog Man: Lord of the Fleas: From the Creator of Captain Underpants (Dog Man #5)</t>
  </si>
  <si>
    <t>Double Down (Diary of a Wimpy Kid #11)</t>
  </si>
  <si>
    <t>Dover Creative Haven Art Nouveau Animal Designs Coloring Book (Creative Haven Coloring Books)</t>
  </si>
  <si>
    <t>Marty Noble</t>
  </si>
  <si>
    <t>Drive: The Surprising Truth About What Motivates Us</t>
  </si>
  <si>
    <t>Daniel H. Pink</t>
  </si>
  <si>
    <t>Eat This Not That! Supermarket Survival Guide: The No-Diet Weight Loss Solution</t>
  </si>
  <si>
    <t>David Zinczenko</t>
  </si>
  <si>
    <t>Eat This, Not That! Thousands of Simple Food Swaps that Can Save You 10, 20, 30 Pounds--or More!</t>
  </si>
  <si>
    <t>Eat to Live: The Amazing Nutrient-Rich Program for Fast and Sustained Weight Loss, Revised Edition</t>
  </si>
  <si>
    <t>Joel Fuhrman MD</t>
  </si>
  <si>
    <t>Eclipse (Twilight Sagas)</t>
  </si>
  <si>
    <t>Eclipse (Twilight)</t>
  </si>
  <si>
    <t>Educated: A Memoir</t>
  </si>
  <si>
    <t>Tara Westover</t>
  </si>
  <si>
    <t>Enchanted Forest: An Inky Quest and Coloring book (Activity Books, Mindfulness and Meditation, Illustrated Floral Printsâ€¦</t>
  </si>
  <si>
    <t>Johanna Basford</t>
  </si>
  <si>
    <t>Fahrenheit 451</t>
  </si>
  <si>
    <t>Ray Bradbury</t>
  </si>
  <si>
    <t>Fantastic Beasts and Where to Find Them: The Original Screenplay (Harry Potter)</t>
  </si>
  <si>
    <t>J.K. Rowling</t>
  </si>
  <si>
    <t>Fear: Trump in the White House</t>
  </si>
  <si>
    <t>Bob Woodward</t>
  </si>
  <si>
    <t>Fifty Shades Darker</t>
  </si>
  <si>
    <t>E L James</t>
  </si>
  <si>
    <t>Fifty Shades Freed: Book Three of the Fifty Shades Trilogy (Fifty Shades of Grey Series) (English Edition)</t>
  </si>
  <si>
    <t>Fifty Shades of Grey: Book One of the Fifty Shades Trilogy (Fifty Shades of Grey Series)</t>
  </si>
  <si>
    <t>Fifty Shades Trilogy (Fifty Shades of Grey / Fifty Shades Darker / Fifty Shades Freed)</t>
  </si>
  <si>
    <t>Fire and Fury: Inside the Trump White House</t>
  </si>
  <si>
    <t>Michael Wolff</t>
  </si>
  <si>
    <t>First 100 Words</t>
  </si>
  <si>
    <t>Roger Priddy</t>
  </si>
  <si>
    <t>Food Rules: An Eater's Manual</t>
  </si>
  <si>
    <t>Michael Pollan</t>
  </si>
  <si>
    <t>Frozen (Little Golden Book)</t>
  </si>
  <si>
    <t>RH Disney</t>
  </si>
  <si>
    <t>Game Change: Obama and the Clintons, McCain and Palin, and the Race of a Lifetime</t>
  </si>
  <si>
    <t>John Heilemann</t>
  </si>
  <si>
    <t>Game of Thrones Boxed Set: A Game of Thrones/A Clash of Kings/A Storm of Swords/A Feast for Crows</t>
  </si>
  <si>
    <t>George R.R. Martin</t>
  </si>
  <si>
    <t>George Washington's Sacred Fire</t>
  </si>
  <si>
    <t>Peter A. Lillback</t>
  </si>
  <si>
    <t>George Washington's Secret Six: The Spy Ring That Saved the American Revolution</t>
  </si>
  <si>
    <t>Brian Kilmeade</t>
  </si>
  <si>
    <t>Giraffes Can't Dance</t>
  </si>
  <si>
    <t>Giles Andreae</t>
  </si>
  <si>
    <t>Girl, Stop Apologizing: A Shame-Free Plan for Embracing and Achieving Your Goals</t>
  </si>
  <si>
    <t>Rachel Hollis</t>
  </si>
  <si>
    <t>Girl, Wash Your Face: Stop Believing the Lies About Who You Are So You Can Become Who You Were Meant to Be</t>
  </si>
  <si>
    <t>Glenn Beck's Common Sense: The Case Against an Out-of-Control Government, Inspired by Thomas Paine</t>
  </si>
  <si>
    <t>Go Set a Watchman: A Novel</t>
  </si>
  <si>
    <t>Harper Lee</t>
  </si>
  <si>
    <t>Go the F**k to Sleep</t>
  </si>
  <si>
    <t>Adam Mansbach</t>
  </si>
  <si>
    <t>Going Rogue: An American Life</t>
  </si>
  <si>
    <t>Sarah Palin</t>
  </si>
  <si>
    <t>Gone Girl</t>
  </si>
  <si>
    <t>Gillian Flynn</t>
  </si>
  <si>
    <t>Good Days Start With Gratitude: A 52 Week Guide To Cultivate An Attitude Of Gratitude: Gratitude Journal</t>
  </si>
  <si>
    <t>Pretty Simple Press</t>
  </si>
  <si>
    <t>Good to Great: Why Some Companies Make the Leap and Others Don't</t>
  </si>
  <si>
    <t>Jim Collins</t>
  </si>
  <si>
    <t>Goodnight Moon</t>
  </si>
  <si>
    <t>Margaret Wise Brown</t>
  </si>
  <si>
    <t>Goodnight, Goodnight Construction Site (Hardcover Books for Toddlers, Preschool Books for Kids)</t>
  </si>
  <si>
    <t>Sherri Duskey Rinker</t>
  </si>
  <si>
    <t>Grain Brain: The Surprising Truth about Wheat, Carbs, and Sugar--Your Brain's Silent Killers</t>
  </si>
  <si>
    <t>David Perlmutter MD</t>
  </si>
  <si>
    <t>Grey: Fifty Shades of Grey as Told by Christian (Fifty Shades of Grey Series)</t>
  </si>
  <si>
    <t>Guts</t>
  </si>
  <si>
    <t>Raina Telgemeier</t>
  </si>
  <si>
    <t>Hamilton: The Revolution</t>
  </si>
  <si>
    <t>Lin-Manuel Miranda</t>
  </si>
  <si>
    <t>Happy, Happy, Happy: My Life and Legacy as the Duck Commander</t>
  </si>
  <si>
    <t>Phil Robertson</t>
  </si>
  <si>
    <t>Harry Potter and the Chamber of Secrets: The Illustrated Edition (Harry Potter, Book 2)</t>
  </si>
  <si>
    <t>Harry Potter and the Cursed Child, Parts 1 &amp; 2, Special Rehearsal Edition Script</t>
  </si>
  <si>
    <t>Harry Potter and the Goblet of Fire: The Illustrated Edition (Harry Potter, Book 4) (4)</t>
  </si>
  <si>
    <t>J. K. Rowling</t>
  </si>
  <si>
    <t>Harry Potter and the Prisoner of Azkaban: The Illustrated Edition (Harry Potter, Book 3)</t>
  </si>
  <si>
    <t>Harry Potter and the Sorcerer's Stone: The Illustrated Edition (Harry Potter, Book 1)</t>
  </si>
  <si>
    <t>Harry Potter Coloring Book</t>
  </si>
  <si>
    <t>Scholastic</t>
  </si>
  <si>
    <t>Harry Potter Paperback Box Set (Books 1-7)</t>
  </si>
  <si>
    <t>Have a Little Faith: A True Story</t>
  </si>
  <si>
    <t>Mitch Albom</t>
  </si>
  <si>
    <t>Heaven is for Real: A Little Boy's Astounding Story of His Trip to Heaven and Back</t>
  </si>
  <si>
    <t>Todd Burpo</t>
  </si>
  <si>
    <t>Hillbilly Elegy: A Memoir of a Family and Culture in Crisis</t>
  </si>
  <si>
    <t>J. D. Vance</t>
  </si>
  <si>
    <t>Homebody: A Guide to Creating Spaces You Never Want to Leave</t>
  </si>
  <si>
    <t>Joanna Gaines</t>
  </si>
  <si>
    <t>How to Win Friends &amp; Influence People</t>
  </si>
  <si>
    <t>Dale Carnegie</t>
  </si>
  <si>
    <t>Howard Stern Comes Again</t>
  </si>
  <si>
    <t>Howard Stern</t>
  </si>
  <si>
    <t>Humans of New York</t>
  </si>
  <si>
    <t>Brandon Stanton</t>
  </si>
  <si>
    <t>Humans of New York : Stories</t>
  </si>
  <si>
    <t>Hyperbole and a Half: Unfortunate Situations, Flawed Coping Mechanisms, Mayhem, and Other Things That Happened</t>
  </si>
  <si>
    <t>Allie Brosh</t>
  </si>
  <si>
    <t>I Am Confident, Brave &amp; Beautiful: A Coloring Book for Girls</t>
  </si>
  <si>
    <t>Hopscotch Girls</t>
  </si>
  <si>
    <t>I, Alex Cross</t>
  </si>
  <si>
    <t>James Patterson</t>
  </si>
  <si>
    <t>If Animals Kissed Good Night</t>
  </si>
  <si>
    <t>Ann Whitford Paul</t>
  </si>
  <si>
    <t>If I Stay</t>
  </si>
  <si>
    <t>Gayle Forman</t>
  </si>
  <si>
    <t>In the Garden of Beasts: Love, Terror, and an American Family in Hitler's Berlin</t>
  </si>
  <si>
    <t>Eric Larson</t>
  </si>
  <si>
    <t>Inferno</t>
  </si>
  <si>
    <t>Dan Brown</t>
  </si>
  <si>
    <t>Inheritance: Book IV (Inheritance Cycle)</t>
  </si>
  <si>
    <t>Christopher Paolini</t>
  </si>
  <si>
    <t>Instant Pot Pressure Cooker Cookbook: 500 Everyday Recipes for Beginners and Advanced Users. Try Easy and Healthyâ€¦</t>
  </si>
  <si>
    <t>Jennifer Smith</t>
  </si>
  <si>
    <t>It's Not Supposed to Be This Way: Finding Unexpected Strength When Disappointments Leave You Shattered</t>
  </si>
  <si>
    <t>Lysa TerKeurst</t>
  </si>
  <si>
    <t>Jesus Calling: Enjoying Peace in His Presence (with Scripture References)</t>
  </si>
  <si>
    <t>Sarah Young</t>
  </si>
  <si>
    <t>JOURNEY TO THE ICE P</t>
  </si>
  <si>
    <t>Joyland (Hard Case Crime)</t>
  </si>
  <si>
    <t>Killers of the Flower Moon: The Osage Murders and the Birth of the FBI</t>
  </si>
  <si>
    <t>David Grann</t>
  </si>
  <si>
    <t>Killing Jesus (Bill O'Reilly's Killing Series)</t>
  </si>
  <si>
    <t>Bill O'Reilly</t>
  </si>
  <si>
    <t>Killing Kennedy: The End of Camelot</t>
  </si>
  <si>
    <t>Killing Lincoln: The Shocking Assassination that Changed America Forever (Bill O'Reilly's Killing Series)</t>
  </si>
  <si>
    <t>Killing Patton: The Strange Death of World War II's Most Audacious General (Bill O'Reilly's Killing Series)</t>
  </si>
  <si>
    <t>Killing Reagan: The Violent Assault That Changed a Presidency (Bill O'Reilly's Killing Series)</t>
  </si>
  <si>
    <t>Killing the Rising Sun: How America Vanquished World War II Japan (Bill O'Reilly's Killing Series)</t>
  </si>
  <si>
    <t>Kitchen Confidential Updated Edition: Adventures in the Culinary Underbelly (P.S.)</t>
  </si>
  <si>
    <t>Anthony Bourdain</t>
  </si>
  <si>
    <t>Knock-Knock Jokes for Kids</t>
  </si>
  <si>
    <t>Rob Elliott</t>
  </si>
  <si>
    <t>Last Week Tonight with John Oliver Presents A Day in the Life of Marlon Bundo (Better Bundo Book, LGBT ChildrenÂ’s Book)</t>
  </si>
  <si>
    <t>Jill Twiss</t>
  </si>
  <si>
    <t>Laugh-Out-Loud Jokes for Kids</t>
  </si>
  <si>
    <t>Lean In: Women, Work, and the Will to Lead</t>
  </si>
  <si>
    <t>Sheryl Sandberg</t>
  </si>
  <si>
    <t>Leonardo da Vinci</t>
  </si>
  <si>
    <t>Walter Isaacson</t>
  </si>
  <si>
    <t>Lettering and Modern Calligraphy: A Beginner's Guide: Learn Hand Lettering and Brush Lettering</t>
  </si>
  <si>
    <t>Paper Peony Press</t>
  </si>
  <si>
    <t>Liberty and Tyranny: A Conservative Manifesto</t>
  </si>
  <si>
    <t>Mark R. Levin</t>
  </si>
  <si>
    <t>Life</t>
  </si>
  <si>
    <t>Keith Richards</t>
  </si>
  <si>
    <t>Little Bee: A Novel</t>
  </si>
  <si>
    <t>Chris Cleave</t>
  </si>
  <si>
    <t>Little Blue Truck</t>
  </si>
  <si>
    <t>Alice Schertle</t>
  </si>
  <si>
    <t>Little Fires Everywhere</t>
  </si>
  <si>
    <t>Celeste Ng</t>
  </si>
  <si>
    <t>Looking for Alaska</t>
  </si>
  <si>
    <t>John Green</t>
  </si>
  <si>
    <t>Love Wins: A Book About Heaven, Hell, and the Fate of Every Person Who Ever Lived</t>
  </si>
  <si>
    <t>Rob Bell</t>
  </si>
  <si>
    <t>Love You Forever</t>
  </si>
  <si>
    <t>Robert Munsch</t>
  </si>
  <si>
    <t>Magnolia Table: A Collection of Recipes for Gathering</t>
  </si>
  <si>
    <t>Make It Ahead: A Barefoot Contessa Cookbook</t>
  </si>
  <si>
    <t>Make Your Bed: Little Things That Can Change Your Life...And Maybe the World</t>
  </si>
  <si>
    <t>Admiral William H. McRaven</t>
  </si>
  <si>
    <t>Mastering the Art of French Cooking, Vol. 2</t>
  </si>
  <si>
    <t>Julia Child</t>
  </si>
  <si>
    <t>Milk and Honey</t>
  </si>
  <si>
    <t>Rupi Kaur</t>
  </si>
  <si>
    <t>Milk and Vine: Inspirational Quotes From Classic Vines</t>
  </si>
  <si>
    <t>Adam Gasiewski</t>
  </si>
  <si>
    <t>Mindset: The New Psychology of Success</t>
  </si>
  <si>
    <t>Carol S. Dweck</t>
  </si>
  <si>
    <t>Mockingjay (The Hunger Games)</t>
  </si>
  <si>
    <t>National Geographic Kids Why?: Over 1,111 Answers to Everything</t>
  </si>
  <si>
    <t>Crispin Boyer</t>
  </si>
  <si>
    <t>National Geographic Little Kids First Big Book of Why (National Geographic Little Kids First Big Books)</t>
  </si>
  <si>
    <t>Amy Shields</t>
  </si>
  <si>
    <t>New Moon (The Twilight Saga)</t>
  </si>
  <si>
    <t>Night (Night)</t>
  </si>
  <si>
    <t>Elie Wiesel</t>
  </si>
  <si>
    <t>No Easy Day: The Autobiography of a Navy Seal: The Firsthand Account of the Mission That Killed Osama Bin Laden</t>
  </si>
  <si>
    <t>Mark Owen</t>
  </si>
  <si>
    <t>Obama: An Intimate Portrait</t>
  </si>
  <si>
    <t>Pete Souza</t>
  </si>
  <si>
    <t>Oh, the Places You'll Go!</t>
  </si>
  <si>
    <t>Dr. Seuss</t>
  </si>
  <si>
    <t>Old School (Diary of a Wimpy Kid #10)</t>
  </si>
  <si>
    <t>Olive Kitteridge</t>
  </si>
  <si>
    <t>Elizabeth Strout</t>
  </si>
  <si>
    <t>One Thousand Gifts: A Dare to Live Fully Right Where You Are</t>
  </si>
  <si>
    <t>Ann Voskamp</t>
  </si>
  <si>
    <t>Option B: Facing Adversity, Building Resilience, and Finding Joy</t>
  </si>
  <si>
    <t>Origin: A Novel (Robert Langdon)</t>
  </si>
  <si>
    <t>Orphan Train</t>
  </si>
  <si>
    <t>Christina Baker Kline</t>
  </si>
  <si>
    <t>Outliers: The Story of Success</t>
  </si>
  <si>
    <t>P is for Potty! (Sesame Street) (Lift-the-Flap)</t>
  </si>
  <si>
    <t>Naomi Kleinberg</t>
  </si>
  <si>
    <t>Percy Jackson and the Olympians Paperback Boxed Set (Books 1-3)</t>
  </si>
  <si>
    <t>Rick Riordan</t>
  </si>
  <si>
    <t>Player's Handbook (Dungeons &amp; Dragons)</t>
  </si>
  <si>
    <t>Wizards RPG Team</t>
  </si>
  <si>
    <t>PokÃ©mon Deluxe Essential Handbook: The Need-to-Know Stats and Facts on Over 700 PokÃ©mon</t>
  </si>
  <si>
    <t>Proof of Heaven: A Neurosurgeon's Journey into the Afterlife</t>
  </si>
  <si>
    <t>Eben Alexander</t>
  </si>
  <si>
    <t>Publication Manual of the American Psychological Association, 6th Edition</t>
  </si>
  <si>
    <t>American Psychological Association</t>
  </si>
  <si>
    <t>Puppy Birthday to You! (Paw Patrol) (Little Golden Book)</t>
  </si>
  <si>
    <t>Golden Books</t>
  </si>
  <si>
    <t>Quiet: The Power of Introverts in a World That Can't Stop Talking</t>
  </si>
  <si>
    <t>Susan Cain</t>
  </si>
  <si>
    <t>Radical: Taking Back Your Faith from the American Dream</t>
  </si>
  <si>
    <t>David Platt</t>
  </si>
  <si>
    <t>Ready Player One: A Novel</t>
  </si>
  <si>
    <t>Ernest Cline</t>
  </si>
  <si>
    <t>Rush Revere and the Brave Pilgrims: Time-Travel Adventures with Exceptional Americans (1)</t>
  </si>
  <si>
    <t>Rush Limbaugh</t>
  </si>
  <si>
    <t>Rush Revere and the First Patriots: Time-Travel Adventures With Exceptional Americans (2)</t>
  </si>
  <si>
    <t>Salt, Fat, Acid, Heat: Mastering the Elements of Good Cooking</t>
  </si>
  <si>
    <t>Samin Nosrat</t>
  </si>
  <si>
    <t>Sarah's Key</t>
  </si>
  <si>
    <t>Tatiana de Rosnay</t>
  </si>
  <si>
    <t>School Zone - Big Preschool Workbook - Ages 4 and Up, Colors, Shapes, Numbers 1-10, Alphabet, Pre-Writing, Pre-Readingâ€¦</t>
  </si>
  <si>
    <t>School Zone</t>
  </si>
  <si>
    <t>Secret Garden: An Inky Treasure Hunt and Coloring Book (For Adults, mindfulness coloring)</t>
  </si>
  <si>
    <t>Sh*t My Dad Says</t>
  </si>
  <si>
    <t>Justin Halpern</t>
  </si>
  <si>
    <t>Ship of Fools: How a Selfish Ruling Class Is Bringing America to the Brink of Revolution</t>
  </si>
  <si>
    <t>Tucker Carlson</t>
  </si>
  <si>
    <t>Shred: The Revolutionary Diet: 6 Weeks 4 Inches 2 Sizes</t>
  </si>
  <si>
    <t>Ian K. Smith M.D.</t>
  </si>
  <si>
    <t>Sookie Stackhouse</t>
  </si>
  <si>
    <t>Soul Healing Miracles: Ancient and New Sacred Wisdom, Knowledge, and Practical Techniques for Healing the Spiritualâ€¦</t>
  </si>
  <si>
    <t>Steve Jobs</t>
  </si>
  <si>
    <t>Strange Planet (Strange Planet Series)</t>
  </si>
  <si>
    <t>Nathan W. Pyle</t>
  </si>
  <si>
    <t>StrengthsFinder 2.0</t>
  </si>
  <si>
    <t>Gallup</t>
  </si>
  <si>
    <t>Super Freakonomics: Global Cooling, Patriotic Prostitutes, and Why Suicide Bombers Should Buy Life Insurance</t>
  </si>
  <si>
    <t>Steven D. Levitt</t>
  </si>
  <si>
    <t>Switch: How to Change Things When Change Is Hard</t>
  </si>
  <si>
    <t>Chip Heath</t>
  </si>
  <si>
    <t>Sycamore Row (Jake Brigance)</t>
  </si>
  <si>
    <t>John Grisham</t>
  </si>
  <si>
    <t>Teach Like a Champion: 49 Techniques that Put Students on the Path to College</t>
  </si>
  <si>
    <t>Doug Lemov</t>
  </si>
  <si>
    <t>The 17 Day Diet: A Doctor's Plan Designed for Rapid Results</t>
  </si>
  <si>
    <t>Mike Moreno</t>
  </si>
  <si>
    <t>The 4 Hour Body: An Uncommon Guide to Rapid Fat Loss, Incredible Sex and Becoming Superhuman</t>
  </si>
  <si>
    <t>Timothy Ferriss</t>
  </si>
  <si>
    <t>The 5 Love Languages: The Secret to Love That Lasts</t>
  </si>
  <si>
    <t>Gary Chapman</t>
  </si>
  <si>
    <t>The 5 Love Languages: The Secret to Love that Lasts</t>
  </si>
  <si>
    <t>The 5000 Year Leap</t>
  </si>
  <si>
    <t>W. Cleon Skousen</t>
  </si>
  <si>
    <t>The 7 Habits of Highly Effective People: Powerful Lessons in Personal Change</t>
  </si>
  <si>
    <t>Stephen R. Covey</t>
  </si>
  <si>
    <t>The Alchemist</t>
  </si>
  <si>
    <t>Paulo Coelho</t>
  </si>
  <si>
    <t>The Amateur</t>
  </si>
  <si>
    <t>Edward Klein</t>
  </si>
  <si>
    <t>The Art of Racing in the Rain: A Novel</t>
  </si>
  <si>
    <t>Garth Stein</t>
  </si>
  <si>
    <t>The Big Short: Inside the Doomsday Machine</t>
  </si>
  <si>
    <t>Michael Lewis</t>
  </si>
  <si>
    <t>The Blood of Olympus (The Heroes of Olympus (5))</t>
  </si>
  <si>
    <t>The Blood Sugar Solution: The UltraHealthy Program for Losing Weight, Preventing Disease, and Feeling Great Now!</t>
  </si>
  <si>
    <t>Mark Hyman M.D.</t>
  </si>
  <si>
    <t>The Body Keeps the Score: Brain, Mind, and Body in the Healing of Trauma</t>
  </si>
  <si>
    <t>Bessel van der Kolk M.D.</t>
  </si>
  <si>
    <t>The Book of Basketball: The NBA According to The Sports Guy</t>
  </si>
  <si>
    <t>Bill Simmons</t>
  </si>
  <si>
    <t>The Book Thief</t>
  </si>
  <si>
    <t>Markus Zusak</t>
  </si>
  <si>
    <t>The Book with No Pictures</t>
  </si>
  <si>
    <t>B. J. Novak</t>
  </si>
  <si>
    <t>The Boys in the Boat: Nine Americans and Their Epic Quest for Gold at the 1936 Berlin Olympics</t>
  </si>
  <si>
    <t>Daniel James Brown</t>
  </si>
  <si>
    <t>The Casual Vacancy</t>
  </si>
  <si>
    <t>The China Study: The Most Comprehensive Study of Nutrition Ever Conducted And the Startling Implications for Dietâ€¦</t>
  </si>
  <si>
    <t>Thomas Campbell</t>
  </si>
  <si>
    <t>The Complete Ketogenic Diet for Beginners: Your Essential Guide to Living the Keto Lifestyle</t>
  </si>
  <si>
    <t>Amy Ramos</t>
  </si>
  <si>
    <t>The Confession: A Novel</t>
  </si>
  <si>
    <t>The Constitution of the United States</t>
  </si>
  <si>
    <t>Delegates of the ConstitutionalÂ…</t>
  </si>
  <si>
    <t>The Daily Show with Jon Stewart Presents Earth (The Book): A Visitor's Guide to the Human Race</t>
  </si>
  <si>
    <t>Jon Stewart</t>
  </si>
  <si>
    <t>The Day the Crayons Quit</t>
  </si>
  <si>
    <t>Drew Daywalt</t>
  </si>
  <si>
    <t>The Dukan Diet: 2 Steps to Lose the Weight, 2 Steps to Keep It Off Forever</t>
  </si>
  <si>
    <t>Pierre Dukan</t>
  </si>
  <si>
    <t>The Elegance of the Hedgehog</t>
  </si>
  <si>
    <t>Muriel Barbery</t>
  </si>
  <si>
    <t>The Fault in Our Stars</t>
  </si>
  <si>
    <t>The Five Dysfunctions of a Team: A Leadership Fable</t>
  </si>
  <si>
    <t>Patrick Lencioni</t>
  </si>
  <si>
    <t>The Five Love Languages: How to Express Heartfelt Commitment to Your Mate</t>
  </si>
  <si>
    <t>The Four Agreements: A Practical Guide to Personal Freedom (A Toltec Wisdom Book)</t>
  </si>
  <si>
    <t>Don Miguel Ruiz</t>
  </si>
  <si>
    <t>The Getaway</t>
  </si>
  <si>
    <t>The Girl on the Train</t>
  </si>
  <si>
    <t>Paula Hawkins</t>
  </si>
  <si>
    <t>The Girl Who Kicked the Hornet's Nest (Millennium Trilogy)</t>
  </si>
  <si>
    <t>Stieg Larsson</t>
  </si>
  <si>
    <t>The Girl Who Played with Fire (Millennium Series)</t>
  </si>
  <si>
    <t>The Girl Who Played with Fire (Millennium)</t>
  </si>
  <si>
    <t>The Girl with the Dragon Tattoo (Millennium Series)</t>
  </si>
  <si>
    <t>The Going-To-Bed Book</t>
  </si>
  <si>
    <t>Sandra Boynton</t>
  </si>
  <si>
    <t>The Goldfinch: A Novel (Pulitzer Prize for Fiction)</t>
  </si>
  <si>
    <t>Donna Tartt</t>
  </si>
  <si>
    <t>The Great Gatsby</t>
  </si>
  <si>
    <t>F. Scott Fitzgerald</t>
  </si>
  <si>
    <t>The Guardians: A Novel</t>
  </si>
  <si>
    <t>The Guernsey Literary and Potato Peel Pie Society</t>
  </si>
  <si>
    <t>Mary Ann Shaffer</t>
  </si>
  <si>
    <t>The Handmaid's Tale</t>
  </si>
  <si>
    <t>Margaret Atwood</t>
  </si>
  <si>
    <t>The Harbinger: The Ancient Mystery that Holds the Secret of America's Future</t>
  </si>
  <si>
    <t>Jonathan Cahn</t>
  </si>
  <si>
    <t>The Hate U Give</t>
  </si>
  <si>
    <t>Angie Thomas</t>
  </si>
  <si>
    <t>The Help</t>
  </si>
  <si>
    <t>Kathryn Stockett</t>
  </si>
  <si>
    <t>The House of Hades (Heroes of Olympus, Book 4)</t>
  </si>
  <si>
    <t>The Hunger Games</t>
  </si>
  <si>
    <t>The Hunger Games (Book 1)</t>
  </si>
  <si>
    <t>The Hunger Games Trilogy Boxed Set (1)</t>
  </si>
  <si>
    <t>The Immortal Life of Henrietta Lacks</t>
  </si>
  <si>
    <t>Rebecca Skloot</t>
  </si>
  <si>
    <t>The Instant Pot Electric Pressure Cooker Cookbook: Easy Recipes for Fast &amp; Healthy Meals</t>
  </si>
  <si>
    <t>Laurel Randolph</t>
  </si>
  <si>
    <t>The Last Lecture</t>
  </si>
  <si>
    <t>Randy Pausch</t>
  </si>
  <si>
    <t>The Last Olympian (Percy Jackson and the Olympians, Book 5)</t>
  </si>
  <si>
    <t>The Legend of Zelda: Hyrule Historia</t>
  </si>
  <si>
    <t>Patrick Thorpe</t>
  </si>
  <si>
    <t>The Lego Ideas Book: Unlock Your Imagination</t>
  </si>
  <si>
    <t>Daniel Lipkowitz</t>
  </si>
  <si>
    <t>The Life-Changing Magic of Tidying Up: The Japanese Art of Decluttering and Organizing</t>
  </si>
  <si>
    <t>Marie KondÅ</t>
  </si>
  <si>
    <t>The Litigators</t>
  </si>
  <si>
    <t>The Lost Hero (Heroes of Olympus, Book 1)</t>
  </si>
  <si>
    <t>The Lost Symbol</t>
  </si>
  <si>
    <t>The Love Dare</t>
  </si>
  <si>
    <t>Stephen Kendrick</t>
  </si>
  <si>
    <t>The Magnolia Story</t>
  </si>
  <si>
    <t>Chip Gaines</t>
  </si>
  <si>
    <t>The Mark of Athena (Heroes of Olympus, Book 3)</t>
  </si>
  <si>
    <t>The Martian</t>
  </si>
  <si>
    <t>Andy Weir</t>
  </si>
  <si>
    <t>The Maze Runner (Book 1)</t>
  </si>
  <si>
    <t>James Dashner</t>
  </si>
  <si>
    <t>The Meltdown (Diary of a Wimpy Kid Book 13)</t>
  </si>
  <si>
    <t>The Mueller Report</t>
  </si>
  <si>
    <t>The Washington Post</t>
  </si>
  <si>
    <t>The Nightingale: A Novel</t>
  </si>
  <si>
    <t>Kristin Hannah</t>
  </si>
  <si>
    <t>The Official SAT Study Guide</t>
  </si>
  <si>
    <t>The College Board</t>
  </si>
  <si>
    <t>The Official SAT Study Guide, 2016 Edition (Official Study Guide for the New Sat)</t>
  </si>
  <si>
    <t>The Paris Wife: A Novel</t>
  </si>
  <si>
    <t>Paula McLain</t>
  </si>
  <si>
    <t>The Pioneer Woman Cooks: A Year of Holidays: 140 Step-by-Step Recipes for Simple, Scrumptious Celebrations</t>
  </si>
  <si>
    <t>Ree Drummond</t>
  </si>
  <si>
    <t>The Pioneer Woman Cooks: Dinnertime - Comfort Classics, Freezer Food, 16-minute Meals, and Other Delicious Ways to Solveâ€¦</t>
  </si>
  <si>
    <t>The Pioneer Woman Cooks: Food from My Frontier</t>
  </si>
  <si>
    <t>The Plant Paradox Cookbook: 100 Delicious Recipes to Help You Lose Weight, Heal Your Gut, and Live Lectin-Free</t>
  </si>
  <si>
    <t>Dr. Steven R Gundry MD</t>
  </si>
  <si>
    <t>The Plant Paradox: The Hidden Dangers in "Healthy" Foods That Cause Disease and Weight Gain</t>
  </si>
  <si>
    <t>The Pout-Pout Fish</t>
  </si>
  <si>
    <t>Deborah Diesen</t>
  </si>
  <si>
    <t>The Power of Habit: Why We Do What We Do in Life and Business</t>
  </si>
  <si>
    <t>Charles Duhigg</t>
  </si>
  <si>
    <t>The President Is Missing: A Novel</t>
  </si>
  <si>
    <t>The Racketeer</t>
  </si>
  <si>
    <t>The Red Pyramid (The Kane Chronicles, Book 1)</t>
  </si>
  <si>
    <t>The Road to Serfdom: Text and Documents--The Definitive Edition (The Collected Works of F. A. Hayek, Volume 2)</t>
  </si>
  <si>
    <t>F. A. Hayek</t>
  </si>
  <si>
    <t>The Serpent's Shadow (The Kane Chronicles, Book 3)</t>
  </si>
  <si>
    <t>The Shack: Where Tragedy Confronts Eternity</t>
  </si>
  <si>
    <t>William P. Young</t>
  </si>
  <si>
    <t>The Short Second Life of Bree Tanner: An Eclipse Novella (The Twilight Saga)</t>
  </si>
  <si>
    <t>The Silent Patient</t>
  </si>
  <si>
    <t>Alex Michaelides</t>
  </si>
  <si>
    <t>The Son of Neptune (Heroes of Olympus, Book 2)</t>
  </si>
  <si>
    <t>The Subtle Art of Not Giving a F*ck: A Counterintuitive Approach to Living a Good Life</t>
  </si>
  <si>
    <t>Mark Manson</t>
  </si>
  <si>
    <t>The Sun and Her Flowers</t>
  </si>
  <si>
    <t>The Third Wheel (Diary of a Wimpy Kid, Book 7)</t>
  </si>
  <si>
    <t>The Throne of Fire (The Kane Chronicles, Book 2)</t>
  </si>
  <si>
    <t>The Time Traveler's Wife</t>
  </si>
  <si>
    <t>Audrey Niffenegger</t>
  </si>
  <si>
    <t>The Tipping Point: How Little Things Can Make a Big Difference</t>
  </si>
  <si>
    <t>The Total Money Makeover: Classic Edition: A Proven Plan for Financial Fitness</t>
  </si>
  <si>
    <t>Dave Ramsey</t>
  </si>
  <si>
    <t>The Twilight Saga Collection</t>
  </si>
  <si>
    <t>The Ugly Truth (Diary of a Wimpy Kid, Book 5)</t>
  </si>
  <si>
    <t>The Unofficial Harry Potter Cookbook: From Cauldron Cakes to Knickerbocker Glory--More Than 150 Magical Recipes forâ€¦</t>
  </si>
  <si>
    <t>Dinah Bucholz</t>
  </si>
  <si>
    <t>The Very Hungry Caterpillar</t>
  </si>
  <si>
    <t>Eric Carle</t>
  </si>
  <si>
    <t>The Whole30: The 30-Day Guide to Total Health and Food Freedom</t>
  </si>
  <si>
    <t>Melissa Hartwig Urban</t>
  </si>
  <si>
    <t>The Wonderful Things You Will Be</t>
  </si>
  <si>
    <t>Emily Winfield Martin</t>
  </si>
  <si>
    <t>The Wonky Donkey</t>
  </si>
  <si>
    <t>Craig Smith</t>
  </si>
  <si>
    <t>The Wright Brothers</t>
  </si>
  <si>
    <t>David McCullough</t>
  </si>
  <si>
    <t>Things That Matter: Three Decades of Passions, Pastimes and Politics [Deckled Edge]</t>
  </si>
  <si>
    <t>Charles Krauthammer</t>
  </si>
  <si>
    <t>Thinking, Fast and Slow</t>
  </si>
  <si>
    <t>Daniel Kahneman</t>
  </si>
  <si>
    <t>Thirteen Reasons Why</t>
  </si>
  <si>
    <t>Jay Asher</t>
  </si>
  <si>
    <t>Thomas Jefferson: The Art of Power</t>
  </si>
  <si>
    <t>Jon Meacham</t>
  </si>
  <si>
    <t>Three Cups of Tea: One Man's Mission to Promote Peace - One School at a Time</t>
  </si>
  <si>
    <t>Greg Mortenson</t>
  </si>
  <si>
    <t>Thug Kitchen: The Official Cookbook: Eat Like You Give a F*ck (Thug Kitchen Cookbooks)</t>
  </si>
  <si>
    <t>Thug Kitchen</t>
  </si>
  <si>
    <t>Tina Fey: Bossypants</t>
  </si>
  <si>
    <t>Tina Fey</t>
  </si>
  <si>
    <t>To Kill a Mockingbird</t>
  </si>
  <si>
    <t>Tools of Titans: The Tactics, Routines, and Habits of Billionaires, Icons, and World-Class Performers</t>
  </si>
  <si>
    <t>Towers of Midnight (Wheel of Time, Book Thirteen)</t>
  </si>
  <si>
    <t>Robert Jordan</t>
  </si>
  <si>
    <t>True Compass: A Memoir</t>
  </si>
  <si>
    <t>Edward M. Kennedy</t>
  </si>
  <si>
    <t>Twilight (The Twilight Saga, Book 1)</t>
  </si>
  <si>
    <t>Ultimate Sticker Book: Frozen: More Than 60 Reusable Full-Color Stickers</t>
  </si>
  <si>
    <t>Unbroken: A World War II Story of Survival, Resilience, and Redemption</t>
  </si>
  <si>
    <t>Laura Hillenbrand</t>
  </si>
  <si>
    <t>Under the Dome: A Novel</t>
  </si>
  <si>
    <t>Unfreedom of the Press</t>
  </si>
  <si>
    <t>Unicorn Coloring Book: For Kids Ages 4-8 (US Edition) (Silly Bear Coloring Books)</t>
  </si>
  <si>
    <t>Silly Bear</t>
  </si>
  <si>
    <t>Uninvited: Living Loved When You Feel Less Than, Left Out, and Lonely</t>
  </si>
  <si>
    <t>Watchmen</t>
  </si>
  <si>
    <t>Alan Moore</t>
  </si>
  <si>
    <t>Water for Elephants: A Novel</t>
  </si>
  <si>
    <t>Sara Gruen</t>
  </si>
  <si>
    <t>What Happened</t>
  </si>
  <si>
    <t>Hillary Rodham Clinton</t>
  </si>
  <si>
    <t>What If?: Serious Scientific Answers to Absurd Hypothetical Questions</t>
  </si>
  <si>
    <t>Randall Munroe</t>
  </si>
  <si>
    <t>What Pet Should I Get? (Classic Seuss)</t>
  </si>
  <si>
    <t>What Should Danny Do? (The Power to Choose Series)</t>
  </si>
  <si>
    <t>Adir Levy</t>
  </si>
  <si>
    <t>What to Expect When You're Expecting</t>
  </si>
  <si>
    <t>Heidi Murkoff</t>
  </si>
  <si>
    <t>Wheat Belly: Lose the Wheat, Lose the Weight, and Find Your Path Back to Health</t>
  </si>
  <si>
    <t>William Davis</t>
  </si>
  <si>
    <t>When Breath Becomes Air</t>
  </si>
  <si>
    <t>Paul Kalanithi</t>
  </si>
  <si>
    <t>Where the Crawdads Sing</t>
  </si>
  <si>
    <t>Delia Owens</t>
  </si>
  <si>
    <t>Where the Wild Things Are</t>
  </si>
  <si>
    <t>Maurice Sendak</t>
  </si>
  <si>
    <t>Whose Boat Is This Boat?: Comments That Don't Help in the Aftermath of a Hurricane</t>
  </si>
  <si>
    <t>The Staff of The Late Show withÂ…</t>
  </si>
  <si>
    <t>Wild: From Lost to Found on the Pacific Crest Trail</t>
  </si>
  <si>
    <t>Cheryl Strayed</t>
  </si>
  <si>
    <t>Winter of the World: Book Two of the Century Trilogy</t>
  </si>
  <si>
    <t>Ken Follett</t>
  </si>
  <si>
    <t>Women Food and God: An Unexpected Path to Almost Everything</t>
  </si>
  <si>
    <t>Geneen Roth</t>
  </si>
  <si>
    <t>Wonder</t>
  </si>
  <si>
    <t>R. J. Palacio</t>
  </si>
  <si>
    <t>Wrecking Ball (Diary of a Wimpy Kid Book 14)</t>
  </si>
  <si>
    <t>You Are a Badass: How to Stop Doubting Your Greatness and Start Living an Awesome Life</t>
  </si>
  <si>
    <t>Jen Sincero</t>
  </si>
  <si>
    <t>User_Rating</t>
  </si>
  <si>
    <t>Average(User_Rating) =</t>
  </si>
  <si>
    <t>STDEV(User_Rating)</t>
  </si>
  <si>
    <t>Upper bound =</t>
  </si>
  <si>
    <t>Lower bound</t>
  </si>
  <si>
    <t>Average(Reviews)</t>
  </si>
  <si>
    <t>STDEV(Reviews)</t>
  </si>
  <si>
    <t>Upper bound</t>
  </si>
  <si>
    <t>Pricing_outlier</t>
  </si>
  <si>
    <t>Review_Outlier</t>
  </si>
  <si>
    <t>User_Rating_outlier</t>
  </si>
  <si>
    <t>Average(Price)</t>
  </si>
  <si>
    <t>STDEV(Price)</t>
  </si>
  <si>
    <t>Average of User_Rating</t>
  </si>
  <si>
    <t>Row Labels</t>
  </si>
  <si>
    <t>Grand Total</t>
  </si>
  <si>
    <t xml:space="preserve">question 1. </t>
  </si>
  <si>
    <t>question 2.</t>
  </si>
  <si>
    <t>Question 3</t>
  </si>
  <si>
    <t>Sum of Reviews</t>
  </si>
  <si>
    <t>Question 4</t>
  </si>
  <si>
    <t>Average of Price</t>
  </si>
  <si>
    <t>Sum of Price</t>
  </si>
  <si>
    <t>QUESTION 1</t>
  </si>
  <si>
    <t>QUESTION 2</t>
  </si>
  <si>
    <t>Count of Name</t>
  </si>
  <si>
    <t>Question 1</t>
  </si>
  <si>
    <t>(All)</t>
  </si>
  <si>
    <t>Book Age</t>
  </si>
  <si>
    <t>Newer</t>
  </si>
  <si>
    <t>Older</t>
  </si>
  <si>
    <t>Question 2</t>
  </si>
  <si>
    <t>Price &amp; User Rating</t>
  </si>
  <si>
    <t>This number is a small negative number. So, when the price of a book goes up, the user rating tends to go down slightly. But it’s a very weak relationship.</t>
  </si>
  <si>
    <t>Price &amp; Reviews</t>
  </si>
  <si>
    <t>Also a small negative number. So, as the price increases, the number of reviews tends to go down a bit.</t>
  </si>
  <si>
    <t>this eans that, Expensive books might get slightly worse ratings, but the difference is so small it might not matter much</t>
  </si>
  <si>
    <t>this means that, Cheaper books tend to get more reviews. maybe because more people buy them</t>
  </si>
  <si>
    <t xml:space="preserve">User Rating &amp; Reviews </t>
  </si>
  <si>
    <t>This number is very close to 0. That means there's no real relationship between how many reviews a book has and its rating.</t>
  </si>
  <si>
    <t>that is,Books with more reviews are not necessarily better rated</t>
  </si>
  <si>
    <t>Average of Reviews</t>
  </si>
  <si>
    <t>Count of Genre</t>
  </si>
  <si>
    <t>Rating &amp; Popularity Analysis</t>
  </si>
  <si>
    <t>VI</t>
  </si>
  <si>
    <t xml:space="preserve">QUESTION 2. </t>
  </si>
  <si>
    <t>the proportion of Fiction vs. Non-Fiction books.</t>
  </si>
  <si>
    <t>question 3. Line Chart showing the trend of average user ratings over different years.</t>
  </si>
  <si>
    <t>QUESTION 5</t>
  </si>
  <si>
    <t>Task 3: Data Visualizatio</t>
  </si>
  <si>
    <t>Price Analysis</t>
  </si>
  <si>
    <t>Trends Over Time analysis</t>
  </si>
  <si>
    <t>AUTHORS WITH BEST RATINGS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</si>
</sst>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b/>
      <sz val="16"/>
      <color theme="1"/>
      <name val="Calibri"/>
      <family val="2"/>
      <scheme val="minor"/>
    </font>
    <font>
      <b/>
      <sz val="18"/>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bottom style="medium">
        <color indexed="64"/>
      </bottom>
      <diagonal/>
    </border>
    <border>
      <left/>
      <right/>
      <top style="medium">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2">
    <xf numFmtId="0" fontId="0" fillId="0" borderId="0" xfId="0"/>
    <xf numFmtId="0" fontId="0" fillId="0" borderId="0" xfId="0" applyNumberFormat="1"/>
    <xf numFmtId="0" fontId="16" fillId="0" borderId="0" xfId="0" applyFont="1"/>
    <xf numFmtId="0" fontId="0" fillId="0" borderId="0" xfId="0" pivotButton="1"/>
    <xf numFmtId="0" fontId="0" fillId="0" borderId="0" xfId="0" applyAlignment="1">
      <alignment horizontal="left"/>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0" xfId="0" applyAlignment="1">
      <alignment horizontal="left" indent="1"/>
    </xf>
    <xf numFmtId="0" fontId="0" fillId="0" borderId="0" xfId="0" applyAlignment="1">
      <alignment horizontal="left" indent="2"/>
    </xf>
    <xf numFmtId="0" fontId="0" fillId="0" borderId="0" xfId="0" applyFill="1" applyBorder="1" applyAlignment="1"/>
    <xf numFmtId="0" fontId="0" fillId="0" borderId="19" xfId="0" applyFill="1" applyBorder="1" applyAlignment="1"/>
    <xf numFmtId="0" fontId="18" fillId="0" borderId="20" xfId="0" applyFont="1" applyFill="1" applyBorder="1" applyAlignment="1">
      <alignment horizontal="center"/>
    </xf>
    <xf numFmtId="0" fontId="19" fillId="0" borderId="0" xfId="0" applyFont="1" applyAlignment="1">
      <alignment horizontal="center"/>
    </xf>
    <xf numFmtId="0" fontId="0" fillId="0" borderId="0" xfId="0" applyAlignment="1">
      <alignment horizontal="center"/>
    </xf>
    <xf numFmtId="0" fontId="20"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0"/>
      </font>
      <fill>
        <patternFill>
          <bgColor theme="3" tint="-0.24994659260841701"/>
        </patternFill>
      </fill>
      <border>
        <left style="thin">
          <color auto="1"/>
        </left>
        <right style="thin">
          <color auto="1"/>
        </right>
        <top style="thin">
          <color auto="1"/>
        </top>
        <bottom style="thin">
          <color auto="1"/>
        </bottom>
      </border>
    </dxf>
  </dxfs>
  <tableStyles count="1" defaultTableStyle="TableStyleMedium2" defaultPivotStyle="PivotStyleLight16">
    <tableStyle name="Slicer Style 1" pivot="0" table="0" count="1" xr9:uid="{730D0590-6D84-4C92-AA94-BAF3311D0C12}">
      <tableStyleElement type="wholeTable" dxfId="7"/>
    </tableStyle>
  </tableStyles>
  <colors>
    <mruColors>
      <color rgb="FF000066"/>
    </mruColors>
  </colors>
  <extLst>
    <ext xmlns:x14="http://schemas.microsoft.com/office/spreadsheetml/2009/9/main" uri="{EB79DEF2-80B8-43e5-95BD-54CBDDF9020C}">
      <x14:slicerStyles defaultSlicerStyle="Slicer Style 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4.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microsoft.com/office/2007/relationships/slicerCache" Target="slicerCaches/slicerCache1.xml"/><Relationship Id="rId33"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0" Type="http://schemas.openxmlformats.org/officeDocument/2006/relationships/pivotCacheDefinition" Target="pivotCache/pivotCacheDefinition13.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pivotCacheDefinition" Target="pivotCache/pivotCacheDefinition17.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microsoft.com/office/2007/relationships/slicerCache" Target="slicerCaches/slicerCache4.xml"/><Relationship Id="rId10" Type="http://schemas.openxmlformats.org/officeDocument/2006/relationships/pivotCacheDefinition" Target="pivotCache/pivotCacheDefinition3.xml"/><Relationship Id="rId19" Type="http://schemas.openxmlformats.org/officeDocument/2006/relationships/pivotCacheDefinition" Target="pivotCache/pivotCacheDefinition12.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microsoft.com/office/2007/relationships/slicerCache" Target="slicerCaches/slicerCache3.xml"/><Relationship Id="rId30" Type="http://schemas.openxmlformats.org/officeDocument/2006/relationships/connections" Target="connections.xml"/><Relationship Id="rId35" Type="http://schemas.openxmlformats.org/officeDocument/2006/relationships/customXml" Target="../customXml/item1.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 Sales &amp; Ratings Analysis.xlsm]FOR VISUALIZATION!PivotTable1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'FOR VISUALIZATION'!$M$20</c:f>
              <c:strCache>
                <c:ptCount val="1"/>
                <c:pt idx="0">
                  <c:v>Total</c:v>
                </c:pt>
              </c:strCache>
            </c:strRef>
          </c:tx>
          <c:spPr>
            <a:ln w="28575" cap="rnd">
              <a:solidFill>
                <a:schemeClr val="accent1"/>
              </a:solidFill>
              <a:round/>
            </a:ln>
            <a:effectLst/>
          </c:spPr>
          <c:marker>
            <c:symbol val="none"/>
          </c:marker>
          <c:cat>
            <c:strRef>
              <c:f>'FOR VISUALIZATION'!$L$21:$L$32</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'FOR VISUALIZATION'!$M$21:$M$32</c:f>
              <c:numCache>
                <c:formatCode>General</c:formatCode>
                <c:ptCount val="11"/>
                <c:pt idx="0">
                  <c:v>4.5839999999999996</c:v>
                </c:pt>
                <c:pt idx="1">
                  <c:v>4.5579999999999998</c:v>
                </c:pt>
                <c:pt idx="2">
                  <c:v>4.5580000000000007</c:v>
                </c:pt>
                <c:pt idx="3">
                  <c:v>4.532</c:v>
                </c:pt>
                <c:pt idx="4">
                  <c:v>4.5540000000000003</c:v>
                </c:pt>
                <c:pt idx="5">
                  <c:v>4.6220000000000008</c:v>
                </c:pt>
                <c:pt idx="6">
                  <c:v>4.6479999999999997</c:v>
                </c:pt>
                <c:pt idx="7">
                  <c:v>4.6780000000000008</c:v>
                </c:pt>
                <c:pt idx="8">
                  <c:v>4.66</c:v>
                </c:pt>
                <c:pt idx="9">
                  <c:v>4.6680000000000028</c:v>
                </c:pt>
                <c:pt idx="10">
                  <c:v>4.740000000000002</c:v>
                </c:pt>
              </c:numCache>
            </c:numRef>
          </c:val>
          <c:smooth val="0"/>
          <c:extLst>
            <c:ext xmlns:c16="http://schemas.microsoft.com/office/drawing/2014/chart" uri="{C3380CC4-5D6E-409C-BE32-E72D297353CC}">
              <c16:uniqueId val="{00000000-A541-44B2-9228-1613D7710FBB}"/>
            </c:ext>
          </c:extLst>
        </c:ser>
        <c:dLbls>
          <c:showLegendKey val="0"/>
          <c:showVal val="0"/>
          <c:showCatName val="0"/>
          <c:showSerName val="0"/>
          <c:showPercent val="0"/>
          <c:showBubbleSize val="0"/>
        </c:dLbls>
        <c:smooth val="0"/>
        <c:axId val="1711990127"/>
        <c:axId val="1711990543"/>
      </c:lineChart>
      <c:catAx>
        <c:axId val="1711990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1990543"/>
        <c:crosses val="autoZero"/>
        <c:auto val="1"/>
        <c:lblAlgn val="ctr"/>
        <c:lblOffset val="100"/>
        <c:noMultiLvlLbl val="0"/>
      </c:catAx>
      <c:valAx>
        <c:axId val="17119905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1990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[Book Sales &amp; Ratings Analysis.xlsm]FOR VISUALIZATION!the proportion of Fiction vs. Non-Fiction books.</c:name>
    <c:fmtId val="15"/>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CA" sz="1200" b="1" i="0" u="none" strike="noStrike" baseline="0">
                <a:solidFill>
                  <a:schemeClr val="accent1">
                    <a:lumMod val="50000"/>
                  </a:schemeClr>
                </a:solidFill>
                <a:effectLst/>
              </a:rPr>
              <a:t> Proportion of Fiction vs. Non-Fiction books</a:t>
            </a:r>
            <a:r>
              <a:rPr lang="en-CA" sz="1200" b="0" i="0" u="none" strike="noStrike" baseline="0">
                <a:effectLst/>
              </a:rPr>
              <a:t>.</a:t>
            </a:r>
            <a:endParaRPr lang="en-US" sz="1200"/>
          </a:p>
        </c:rich>
      </c:tx>
      <c:layout>
        <c:manualLayout>
          <c:xMode val="edge"/>
          <c:yMode val="edge"/>
          <c:x val="3.7439117578657095E-2"/>
          <c:y val="3.1774757588711518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hade val="76000"/>
            </a:schemeClr>
          </a:solidFill>
          <a:ln w="19050">
            <a:solidFill>
              <a:schemeClr val="lt1"/>
            </a:solidFill>
          </a:ln>
          <a:effectLst/>
        </c:spPr>
      </c:pivotFmt>
      <c:pivotFmt>
        <c:idx val="12"/>
        <c:spPr>
          <a:solidFill>
            <a:schemeClr val="accent1">
              <a:tint val="77000"/>
            </a:schemeClr>
          </a:solidFill>
          <a:ln w="19050">
            <a:solidFill>
              <a:schemeClr val="lt1"/>
            </a:solidFill>
          </a:ln>
          <a:effectLst/>
        </c:spPr>
      </c:pivotFmt>
    </c:pivotFmts>
    <c:plotArea>
      <c:layout/>
      <c:pieChart>
        <c:varyColors val="1"/>
        <c:ser>
          <c:idx val="0"/>
          <c:order val="0"/>
          <c:tx>
            <c:strRef>
              <c:f>'FOR VISUALIZATION'!$K$4</c:f>
              <c:strCache>
                <c:ptCount val="1"/>
                <c:pt idx="0">
                  <c:v>Total</c:v>
                </c:pt>
              </c:strCache>
            </c:strRef>
          </c:tx>
          <c:dPt>
            <c:idx val="0"/>
            <c:bubble3D val="0"/>
            <c:explosion val="6"/>
            <c:spPr>
              <a:solidFill>
                <a:schemeClr val="accent1">
                  <a:shade val="76000"/>
                </a:schemeClr>
              </a:solidFill>
              <a:ln w="19050">
                <a:solidFill>
                  <a:schemeClr val="lt1"/>
                </a:solidFill>
              </a:ln>
              <a:effectLst/>
            </c:spPr>
            <c:extLst>
              <c:ext xmlns:c16="http://schemas.microsoft.com/office/drawing/2014/chart" uri="{C3380CC4-5D6E-409C-BE32-E72D297353CC}">
                <c16:uniqueId val="{00000001-13EB-4806-9DF4-14D237038427}"/>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13EB-4806-9DF4-14D2370384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'FOR VISUALIZATION'!$J$5:$J$7</c:f>
              <c:strCache>
                <c:ptCount val="2"/>
                <c:pt idx="0">
                  <c:v>Fiction</c:v>
                </c:pt>
                <c:pt idx="1">
                  <c:v>Non Fiction</c:v>
                </c:pt>
              </c:strCache>
            </c:strRef>
          </c:cat>
          <c:val>
            <c:numRef>
              <c:f>'FOR VISUALIZATION'!$K$5:$K$7</c:f>
              <c:numCache>
                <c:formatCode>General</c:formatCode>
                <c:ptCount val="2"/>
                <c:pt idx="0">
                  <c:v>240</c:v>
                </c:pt>
                <c:pt idx="1">
                  <c:v>310</c:v>
                </c:pt>
              </c:numCache>
            </c:numRef>
          </c:val>
          <c:extLst>
            <c:ext xmlns:c16="http://schemas.microsoft.com/office/drawing/2014/chart" uri="{C3380CC4-5D6E-409C-BE32-E72D297353CC}">
              <c16:uniqueId val="{00000004-13EB-4806-9DF4-14D23703842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200" b="1" i="0" u="none" strike="noStrike" baseline="0">
                <a:solidFill>
                  <a:schemeClr val="accent1">
                    <a:lumMod val="50000"/>
                  </a:schemeClr>
                </a:solidFill>
                <a:effectLst/>
              </a:rPr>
              <a:t>Analyze the relationship between price and user rating</a:t>
            </a:r>
            <a:endParaRPr lang="en-US" sz="1200" b="1">
              <a:solidFill>
                <a:schemeClr val="accent1">
                  <a:lumMod val="50000"/>
                </a:schemeClr>
              </a:solidFill>
            </a:endParaRPr>
          </a:p>
        </c:rich>
      </c:tx>
      <c:layout>
        <c:manualLayout>
          <c:xMode val="edge"/>
          <c:yMode val="edge"/>
          <c:x val="0.1365461072240621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0656021757725969E-2"/>
          <c:y val="0.2453678352446608"/>
          <c:w val="0.86165595595815148"/>
          <c:h val="0.49254135764149815"/>
        </c:manualLayout>
      </c:layout>
      <c:scatterChart>
        <c:scatterStyle val="lineMarker"/>
        <c:varyColors val="0"/>
        <c:ser>
          <c:idx val="0"/>
          <c:order val="0"/>
          <c:tx>
            <c:strRef>
              <c:f>'correlation for price analysis'!$B$1</c:f>
              <c:strCache>
                <c:ptCount val="1"/>
                <c:pt idx="0">
                  <c:v>User_Rating</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'correlation for price analysis'!$A$2:$A$546</c:f>
              <c:numCache>
                <c:formatCode>General</c:formatCode>
                <c:ptCount val="545"/>
                <c:pt idx="0">
                  <c:v>8</c:v>
                </c:pt>
                <c:pt idx="1">
                  <c:v>22</c:v>
                </c:pt>
                <c:pt idx="2">
                  <c:v>15</c:v>
                </c:pt>
                <c:pt idx="3">
                  <c:v>6</c:v>
                </c:pt>
                <c:pt idx="4">
                  <c:v>15</c:v>
                </c:pt>
                <c:pt idx="5">
                  <c:v>3</c:v>
                </c:pt>
                <c:pt idx="6">
                  <c:v>8</c:v>
                </c:pt>
                <c:pt idx="7">
                  <c:v>8</c:v>
                </c:pt>
                <c:pt idx="8">
                  <c:v>2</c:v>
                </c:pt>
                <c:pt idx="9">
                  <c:v>32</c:v>
                </c:pt>
                <c:pt idx="10">
                  <c:v>5</c:v>
                </c:pt>
                <c:pt idx="11">
                  <c:v>17</c:v>
                </c:pt>
                <c:pt idx="12">
                  <c:v>4</c:v>
                </c:pt>
                <c:pt idx="13">
                  <c:v>6</c:v>
                </c:pt>
                <c:pt idx="14">
                  <c:v>6</c:v>
                </c:pt>
                <c:pt idx="15">
                  <c:v>8</c:v>
                </c:pt>
                <c:pt idx="16">
                  <c:v>13</c:v>
                </c:pt>
                <c:pt idx="17">
                  <c:v>14</c:v>
                </c:pt>
                <c:pt idx="18">
                  <c:v>14</c:v>
                </c:pt>
                <c:pt idx="19">
                  <c:v>13</c:v>
                </c:pt>
                <c:pt idx="20">
                  <c:v>5</c:v>
                </c:pt>
                <c:pt idx="21">
                  <c:v>9</c:v>
                </c:pt>
                <c:pt idx="22">
                  <c:v>14</c:v>
                </c:pt>
                <c:pt idx="23">
                  <c:v>5</c:v>
                </c:pt>
                <c:pt idx="24">
                  <c:v>11</c:v>
                </c:pt>
                <c:pt idx="25">
                  <c:v>24</c:v>
                </c:pt>
                <c:pt idx="26">
                  <c:v>21</c:v>
                </c:pt>
                <c:pt idx="27">
                  <c:v>11</c:v>
                </c:pt>
                <c:pt idx="28">
                  <c:v>11</c:v>
                </c:pt>
                <c:pt idx="29">
                  <c:v>15</c:v>
                </c:pt>
                <c:pt idx="30">
                  <c:v>13</c:v>
                </c:pt>
                <c:pt idx="31">
                  <c:v>13</c:v>
                </c:pt>
                <c:pt idx="32">
                  <c:v>18</c:v>
                </c:pt>
                <c:pt idx="33">
                  <c:v>13</c:v>
                </c:pt>
                <c:pt idx="34">
                  <c:v>8</c:v>
                </c:pt>
                <c:pt idx="35">
                  <c:v>5</c:v>
                </c:pt>
                <c:pt idx="36">
                  <c:v>5</c:v>
                </c:pt>
                <c:pt idx="37">
                  <c:v>0</c:v>
                </c:pt>
                <c:pt idx="38">
                  <c:v>4</c:v>
                </c:pt>
                <c:pt idx="39">
                  <c:v>18</c:v>
                </c:pt>
                <c:pt idx="40">
                  <c:v>28</c:v>
                </c:pt>
                <c:pt idx="41">
                  <c:v>11</c:v>
                </c:pt>
                <c:pt idx="42">
                  <c:v>11</c:v>
                </c:pt>
                <c:pt idx="43">
                  <c:v>11</c:v>
                </c:pt>
                <c:pt idx="44">
                  <c:v>16</c:v>
                </c:pt>
                <c:pt idx="45">
                  <c:v>14</c:v>
                </c:pt>
                <c:pt idx="46">
                  <c:v>14</c:v>
                </c:pt>
                <c:pt idx="47">
                  <c:v>14</c:v>
                </c:pt>
                <c:pt idx="48">
                  <c:v>8</c:v>
                </c:pt>
                <c:pt idx="49">
                  <c:v>4</c:v>
                </c:pt>
                <c:pt idx="50">
                  <c:v>5</c:v>
                </c:pt>
                <c:pt idx="51">
                  <c:v>11</c:v>
                </c:pt>
                <c:pt idx="52">
                  <c:v>11</c:v>
                </c:pt>
                <c:pt idx="53">
                  <c:v>10</c:v>
                </c:pt>
                <c:pt idx="54">
                  <c:v>13</c:v>
                </c:pt>
                <c:pt idx="55">
                  <c:v>4</c:v>
                </c:pt>
                <c:pt idx="56">
                  <c:v>8</c:v>
                </c:pt>
                <c:pt idx="57">
                  <c:v>4</c:v>
                </c:pt>
                <c:pt idx="58">
                  <c:v>5</c:v>
                </c:pt>
                <c:pt idx="59">
                  <c:v>5</c:v>
                </c:pt>
                <c:pt idx="60">
                  <c:v>5</c:v>
                </c:pt>
                <c:pt idx="61">
                  <c:v>5</c:v>
                </c:pt>
                <c:pt idx="62">
                  <c:v>17</c:v>
                </c:pt>
                <c:pt idx="63">
                  <c:v>15</c:v>
                </c:pt>
                <c:pt idx="64">
                  <c:v>105</c:v>
                </c:pt>
                <c:pt idx="65">
                  <c:v>105</c:v>
                </c:pt>
                <c:pt idx="66">
                  <c:v>0</c:v>
                </c:pt>
                <c:pt idx="67">
                  <c:v>15</c:v>
                </c:pt>
                <c:pt idx="68">
                  <c:v>22</c:v>
                </c:pt>
                <c:pt idx="69">
                  <c:v>5</c:v>
                </c:pt>
                <c:pt idx="70">
                  <c:v>15</c:v>
                </c:pt>
                <c:pt idx="71">
                  <c:v>15</c:v>
                </c:pt>
                <c:pt idx="72">
                  <c:v>6</c:v>
                </c:pt>
                <c:pt idx="73">
                  <c:v>6</c:v>
                </c:pt>
                <c:pt idx="74">
                  <c:v>13</c:v>
                </c:pt>
                <c:pt idx="75">
                  <c:v>12</c:v>
                </c:pt>
                <c:pt idx="76">
                  <c:v>6</c:v>
                </c:pt>
                <c:pt idx="77">
                  <c:v>8</c:v>
                </c:pt>
                <c:pt idx="78">
                  <c:v>4</c:v>
                </c:pt>
                <c:pt idx="79">
                  <c:v>4</c:v>
                </c:pt>
                <c:pt idx="80">
                  <c:v>8</c:v>
                </c:pt>
                <c:pt idx="81">
                  <c:v>8</c:v>
                </c:pt>
                <c:pt idx="82">
                  <c:v>6</c:v>
                </c:pt>
                <c:pt idx="83">
                  <c:v>20</c:v>
                </c:pt>
                <c:pt idx="84">
                  <c:v>5</c:v>
                </c:pt>
                <c:pt idx="85">
                  <c:v>16</c:v>
                </c:pt>
                <c:pt idx="86">
                  <c:v>1</c:v>
                </c:pt>
                <c:pt idx="87">
                  <c:v>14</c:v>
                </c:pt>
                <c:pt idx="88">
                  <c:v>9</c:v>
                </c:pt>
                <c:pt idx="89">
                  <c:v>9</c:v>
                </c:pt>
                <c:pt idx="90">
                  <c:v>7</c:v>
                </c:pt>
                <c:pt idx="91">
                  <c:v>18</c:v>
                </c:pt>
                <c:pt idx="92">
                  <c:v>15</c:v>
                </c:pt>
                <c:pt idx="93">
                  <c:v>15</c:v>
                </c:pt>
                <c:pt idx="94">
                  <c:v>9</c:v>
                </c:pt>
                <c:pt idx="95">
                  <c:v>8</c:v>
                </c:pt>
                <c:pt idx="96">
                  <c:v>8</c:v>
                </c:pt>
                <c:pt idx="97">
                  <c:v>15</c:v>
                </c:pt>
                <c:pt idx="98">
                  <c:v>2</c:v>
                </c:pt>
                <c:pt idx="99">
                  <c:v>7</c:v>
                </c:pt>
                <c:pt idx="100">
                  <c:v>11</c:v>
                </c:pt>
                <c:pt idx="101">
                  <c:v>14</c:v>
                </c:pt>
                <c:pt idx="102">
                  <c:v>14</c:v>
                </c:pt>
                <c:pt idx="103">
                  <c:v>32</c:v>
                </c:pt>
                <c:pt idx="104">
                  <c:v>6</c:v>
                </c:pt>
                <c:pt idx="105">
                  <c:v>4</c:v>
                </c:pt>
                <c:pt idx="106">
                  <c:v>4</c:v>
                </c:pt>
                <c:pt idx="107">
                  <c:v>4</c:v>
                </c:pt>
                <c:pt idx="108">
                  <c:v>4</c:v>
                </c:pt>
                <c:pt idx="109">
                  <c:v>4</c:v>
                </c:pt>
                <c:pt idx="110">
                  <c:v>9</c:v>
                </c:pt>
                <c:pt idx="111">
                  <c:v>0</c:v>
                </c:pt>
                <c:pt idx="112">
                  <c:v>9</c:v>
                </c:pt>
                <c:pt idx="113">
                  <c:v>5</c:v>
                </c:pt>
                <c:pt idx="114">
                  <c:v>5</c:v>
                </c:pt>
                <c:pt idx="115">
                  <c:v>5</c:v>
                </c:pt>
                <c:pt idx="116">
                  <c:v>20</c:v>
                </c:pt>
                <c:pt idx="117">
                  <c:v>16</c:v>
                </c:pt>
                <c:pt idx="118">
                  <c:v>4</c:v>
                </c:pt>
                <c:pt idx="119">
                  <c:v>4</c:v>
                </c:pt>
                <c:pt idx="120">
                  <c:v>4</c:v>
                </c:pt>
                <c:pt idx="121">
                  <c:v>4</c:v>
                </c:pt>
                <c:pt idx="122">
                  <c:v>4</c:v>
                </c:pt>
                <c:pt idx="123">
                  <c:v>12</c:v>
                </c:pt>
                <c:pt idx="124">
                  <c:v>12</c:v>
                </c:pt>
                <c:pt idx="125">
                  <c:v>12</c:v>
                </c:pt>
                <c:pt idx="126">
                  <c:v>11</c:v>
                </c:pt>
                <c:pt idx="127">
                  <c:v>19</c:v>
                </c:pt>
                <c:pt idx="128">
                  <c:v>9</c:v>
                </c:pt>
                <c:pt idx="129">
                  <c:v>6</c:v>
                </c:pt>
                <c:pt idx="130">
                  <c:v>10</c:v>
                </c:pt>
                <c:pt idx="131">
                  <c:v>10</c:v>
                </c:pt>
                <c:pt idx="132">
                  <c:v>9</c:v>
                </c:pt>
                <c:pt idx="133">
                  <c:v>6</c:v>
                </c:pt>
                <c:pt idx="134">
                  <c:v>14</c:v>
                </c:pt>
                <c:pt idx="135">
                  <c:v>14</c:v>
                </c:pt>
                <c:pt idx="136">
                  <c:v>14</c:v>
                </c:pt>
                <c:pt idx="137">
                  <c:v>14</c:v>
                </c:pt>
                <c:pt idx="138">
                  <c:v>5</c:v>
                </c:pt>
                <c:pt idx="139">
                  <c:v>5</c:v>
                </c:pt>
                <c:pt idx="140">
                  <c:v>5</c:v>
                </c:pt>
                <c:pt idx="141">
                  <c:v>7</c:v>
                </c:pt>
                <c:pt idx="142">
                  <c:v>7</c:v>
                </c:pt>
                <c:pt idx="143">
                  <c:v>10</c:v>
                </c:pt>
                <c:pt idx="144">
                  <c:v>14</c:v>
                </c:pt>
                <c:pt idx="145">
                  <c:v>7</c:v>
                </c:pt>
                <c:pt idx="146">
                  <c:v>54</c:v>
                </c:pt>
                <c:pt idx="147">
                  <c:v>11</c:v>
                </c:pt>
                <c:pt idx="148">
                  <c:v>30</c:v>
                </c:pt>
                <c:pt idx="149">
                  <c:v>12</c:v>
                </c:pt>
                <c:pt idx="150">
                  <c:v>18</c:v>
                </c:pt>
                <c:pt idx="151">
                  <c:v>30</c:v>
                </c:pt>
                <c:pt idx="152">
                  <c:v>22</c:v>
                </c:pt>
                <c:pt idx="153">
                  <c:v>9</c:v>
                </c:pt>
                <c:pt idx="154">
                  <c:v>52</c:v>
                </c:pt>
                <c:pt idx="155">
                  <c:v>4</c:v>
                </c:pt>
                <c:pt idx="156">
                  <c:v>10</c:v>
                </c:pt>
                <c:pt idx="157">
                  <c:v>10</c:v>
                </c:pt>
                <c:pt idx="158">
                  <c:v>14</c:v>
                </c:pt>
                <c:pt idx="159">
                  <c:v>14</c:v>
                </c:pt>
                <c:pt idx="160">
                  <c:v>22</c:v>
                </c:pt>
                <c:pt idx="161">
                  <c:v>11</c:v>
                </c:pt>
                <c:pt idx="162">
                  <c:v>11</c:v>
                </c:pt>
                <c:pt idx="163">
                  <c:v>11</c:v>
                </c:pt>
                <c:pt idx="164">
                  <c:v>11</c:v>
                </c:pt>
                <c:pt idx="165">
                  <c:v>11</c:v>
                </c:pt>
                <c:pt idx="166">
                  <c:v>16</c:v>
                </c:pt>
                <c:pt idx="167">
                  <c:v>15</c:v>
                </c:pt>
                <c:pt idx="168">
                  <c:v>15</c:v>
                </c:pt>
                <c:pt idx="169">
                  <c:v>17</c:v>
                </c:pt>
                <c:pt idx="170">
                  <c:v>17</c:v>
                </c:pt>
                <c:pt idx="171">
                  <c:v>7</c:v>
                </c:pt>
                <c:pt idx="172">
                  <c:v>7</c:v>
                </c:pt>
                <c:pt idx="173">
                  <c:v>4</c:v>
                </c:pt>
                <c:pt idx="174">
                  <c:v>4</c:v>
                </c:pt>
                <c:pt idx="175">
                  <c:v>9</c:v>
                </c:pt>
                <c:pt idx="176">
                  <c:v>21</c:v>
                </c:pt>
                <c:pt idx="177">
                  <c:v>14</c:v>
                </c:pt>
                <c:pt idx="178">
                  <c:v>20</c:v>
                </c:pt>
                <c:pt idx="179">
                  <c:v>13</c:v>
                </c:pt>
                <c:pt idx="180">
                  <c:v>13</c:v>
                </c:pt>
                <c:pt idx="181">
                  <c:v>12</c:v>
                </c:pt>
                <c:pt idx="182">
                  <c:v>8</c:v>
                </c:pt>
                <c:pt idx="183">
                  <c:v>8</c:v>
                </c:pt>
                <c:pt idx="184">
                  <c:v>8</c:v>
                </c:pt>
                <c:pt idx="185">
                  <c:v>8</c:v>
                </c:pt>
                <c:pt idx="186">
                  <c:v>8</c:v>
                </c:pt>
                <c:pt idx="187">
                  <c:v>8</c:v>
                </c:pt>
                <c:pt idx="188">
                  <c:v>0</c:v>
                </c:pt>
                <c:pt idx="189">
                  <c:v>12</c:v>
                </c:pt>
                <c:pt idx="190">
                  <c:v>17</c:v>
                </c:pt>
                <c:pt idx="191">
                  <c:v>12</c:v>
                </c:pt>
                <c:pt idx="192">
                  <c:v>25</c:v>
                </c:pt>
                <c:pt idx="193">
                  <c:v>10</c:v>
                </c:pt>
                <c:pt idx="194">
                  <c:v>10</c:v>
                </c:pt>
                <c:pt idx="195">
                  <c:v>6</c:v>
                </c:pt>
                <c:pt idx="196">
                  <c:v>5</c:v>
                </c:pt>
                <c:pt idx="197">
                  <c:v>6</c:v>
                </c:pt>
                <c:pt idx="198">
                  <c:v>8</c:v>
                </c:pt>
                <c:pt idx="199">
                  <c:v>4</c:v>
                </c:pt>
                <c:pt idx="200">
                  <c:v>4</c:v>
                </c:pt>
                <c:pt idx="201">
                  <c:v>4</c:v>
                </c:pt>
                <c:pt idx="202">
                  <c:v>13</c:v>
                </c:pt>
                <c:pt idx="203">
                  <c:v>4</c:v>
                </c:pt>
                <c:pt idx="204">
                  <c:v>4</c:v>
                </c:pt>
                <c:pt idx="205">
                  <c:v>4</c:v>
                </c:pt>
                <c:pt idx="206">
                  <c:v>4</c:v>
                </c:pt>
                <c:pt idx="207">
                  <c:v>4</c:v>
                </c:pt>
                <c:pt idx="208">
                  <c:v>13</c:v>
                </c:pt>
                <c:pt idx="209">
                  <c:v>21</c:v>
                </c:pt>
                <c:pt idx="210">
                  <c:v>6</c:v>
                </c:pt>
                <c:pt idx="211">
                  <c:v>15</c:v>
                </c:pt>
                <c:pt idx="212">
                  <c:v>18</c:v>
                </c:pt>
                <c:pt idx="213">
                  <c:v>10</c:v>
                </c:pt>
                <c:pt idx="214">
                  <c:v>0</c:v>
                </c:pt>
                <c:pt idx="215">
                  <c:v>12</c:v>
                </c:pt>
                <c:pt idx="216">
                  <c:v>7</c:v>
                </c:pt>
                <c:pt idx="217">
                  <c:v>13</c:v>
                </c:pt>
                <c:pt idx="218">
                  <c:v>5</c:v>
                </c:pt>
                <c:pt idx="219">
                  <c:v>5</c:v>
                </c:pt>
                <c:pt idx="220">
                  <c:v>16</c:v>
                </c:pt>
                <c:pt idx="221">
                  <c:v>20</c:v>
                </c:pt>
                <c:pt idx="222">
                  <c:v>11</c:v>
                </c:pt>
                <c:pt idx="223">
                  <c:v>27</c:v>
                </c:pt>
                <c:pt idx="224">
                  <c:v>8</c:v>
                </c:pt>
                <c:pt idx="225">
                  <c:v>8</c:v>
                </c:pt>
                <c:pt idx="226">
                  <c:v>8</c:v>
                </c:pt>
                <c:pt idx="227">
                  <c:v>6</c:v>
                </c:pt>
                <c:pt idx="228">
                  <c:v>10</c:v>
                </c:pt>
                <c:pt idx="229">
                  <c:v>10</c:v>
                </c:pt>
                <c:pt idx="230">
                  <c:v>10</c:v>
                </c:pt>
                <c:pt idx="231">
                  <c:v>8</c:v>
                </c:pt>
                <c:pt idx="232">
                  <c:v>8</c:v>
                </c:pt>
                <c:pt idx="233">
                  <c:v>8</c:v>
                </c:pt>
                <c:pt idx="234">
                  <c:v>16</c:v>
                </c:pt>
                <c:pt idx="235">
                  <c:v>11</c:v>
                </c:pt>
                <c:pt idx="236">
                  <c:v>10</c:v>
                </c:pt>
                <c:pt idx="237">
                  <c:v>9</c:v>
                </c:pt>
                <c:pt idx="238">
                  <c:v>14</c:v>
                </c:pt>
                <c:pt idx="239">
                  <c:v>22</c:v>
                </c:pt>
                <c:pt idx="240">
                  <c:v>8</c:v>
                </c:pt>
                <c:pt idx="241">
                  <c:v>8</c:v>
                </c:pt>
                <c:pt idx="242">
                  <c:v>8</c:v>
                </c:pt>
                <c:pt idx="243">
                  <c:v>8</c:v>
                </c:pt>
                <c:pt idx="244">
                  <c:v>8</c:v>
                </c:pt>
                <c:pt idx="245">
                  <c:v>8</c:v>
                </c:pt>
                <c:pt idx="246">
                  <c:v>8</c:v>
                </c:pt>
                <c:pt idx="247">
                  <c:v>8</c:v>
                </c:pt>
                <c:pt idx="248">
                  <c:v>7</c:v>
                </c:pt>
                <c:pt idx="249">
                  <c:v>12</c:v>
                </c:pt>
                <c:pt idx="250">
                  <c:v>13</c:v>
                </c:pt>
                <c:pt idx="251">
                  <c:v>13</c:v>
                </c:pt>
                <c:pt idx="252">
                  <c:v>9</c:v>
                </c:pt>
                <c:pt idx="253">
                  <c:v>13</c:v>
                </c:pt>
                <c:pt idx="254">
                  <c:v>11</c:v>
                </c:pt>
                <c:pt idx="255">
                  <c:v>20</c:v>
                </c:pt>
                <c:pt idx="256">
                  <c:v>20</c:v>
                </c:pt>
                <c:pt idx="257">
                  <c:v>5</c:v>
                </c:pt>
                <c:pt idx="258">
                  <c:v>5</c:v>
                </c:pt>
                <c:pt idx="259">
                  <c:v>2</c:v>
                </c:pt>
                <c:pt idx="260">
                  <c:v>27</c:v>
                </c:pt>
                <c:pt idx="261">
                  <c:v>27</c:v>
                </c:pt>
                <c:pt idx="262">
                  <c:v>27</c:v>
                </c:pt>
                <c:pt idx="263">
                  <c:v>9</c:v>
                </c:pt>
                <c:pt idx="264">
                  <c:v>10</c:v>
                </c:pt>
                <c:pt idx="265">
                  <c:v>10</c:v>
                </c:pt>
                <c:pt idx="266">
                  <c:v>46</c:v>
                </c:pt>
                <c:pt idx="267">
                  <c:v>46</c:v>
                </c:pt>
                <c:pt idx="268">
                  <c:v>46</c:v>
                </c:pt>
                <c:pt idx="269">
                  <c:v>46</c:v>
                </c:pt>
                <c:pt idx="270">
                  <c:v>46</c:v>
                </c:pt>
                <c:pt idx="271">
                  <c:v>46</c:v>
                </c:pt>
                <c:pt idx="272">
                  <c:v>46</c:v>
                </c:pt>
                <c:pt idx="273">
                  <c:v>46</c:v>
                </c:pt>
                <c:pt idx="274">
                  <c:v>46</c:v>
                </c:pt>
                <c:pt idx="275">
                  <c:v>46</c:v>
                </c:pt>
                <c:pt idx="276">
                  <c:v>4</c:v>
                </c:pt>
                <c:pt idx="277">
                  <c:v>20</c:v>
                </c:pt>
                <c:pt idx="278">
                  <c:v>7</c:v>
                </c:pt>
                <c:pt idx="279">
                  <c:v>9</c:v>
                </c:pt>
                <c:pt idx="280">
                  <c:v>9</c:v>
                </c:pt>
                <c:pt idx="281">
                  <c:v>12</c:v>
                </c:pt>
                <c:pt idx="282">
                  <c:v>12</c:v>
                </c:pt>
                <c:pt idx="283">
                  <c:v>12</c:v>
                </c:pt>
                <c:pt idx="284">
                  <c:v>12</c:v>
                </c:pt>
                <c:pt idx="285">
                  <c:v>20</c:v>
                </c:pt>
                <c:pt idx="286">
                  <c:v>20</c:v>
                </c:pt>
                <c:pt idx="287">
                  <c:v>10</c:v>
                </c:pt>
                <c:pt idx="288">
                  <c:v>6</c:v>
                </c:pt>
                <c:pt idx="289">
                  <c:v>6</c:v>
                </c:pt>
                <c:pt idx="290">
                  <c:v>9</c:v>
                </c:pt>
                <c:pt idx="291">
                  <c:v>11</c:v>
                </c:pt>
                <c:pt idx="292">
                  <c:v>16</c:v>
                </c:pt>
                <c:pt idx="293">
                  <c:v>6</c:v>
                </c:pt>
                <c:pt idx="294">
                  <c:v>25</c:v>
                </c:pt>
                <c:pt idx="295">
                  <c:v>17</c:v>
                </c:pt>
                <c:pt idx="296">
                  <c:v>20</c:v>
                </c:pt>
                <c:pt idx="297">
                  <c:v>20</c:v>
                </c:pt>
                <c:pt idx="298">
                  <c:v>6</c:v>
                </c:pt>
                <c:pt idx="299">
                  <c:v>17</c:v>
                </c:pt>
                <c:pt idx="300">
                  <c:v>17</c:v>
                </c:pt>
                <c:pt idx="301">
                  <c:v>17</c:v>
                </c:pt>
                <c:pt idx="302">
                  <c:v>17</c:v>
                </c:pt>
                <c:pt idx="303">
                  <c:v>17</c:v>
                </c:pt>
                <c:pt idx="304">
                  <c:v>17</c:v>
                </c:pt>
                <c:pt idx="305">
                  <c:v>17</c:v>
                </c:pt>
                <c:pt idx="306">
                  <c:v>17</c:v>
                </c:pt>
                <c:pt idx="307">
                  <c:v>17</c:v>
                </c:pt>
                <c:pt idx="308">
                  <c:v>18</c:v>
                </c:pt>
                <c:pt idx="309">
                  <c:v>13</c:v>
                </c:pt>
                <c:pt idx="310">
                  <c:v>18</c:v>
                </c:pt>
                <c:pt idx="311">
                  <c:v>20</c:v>
                </c:pt>
                <c:pt idx="312">
                  <c:v>20</c:v>
                </c:pt>
                <c:pt idx="313">
                  <c:v>22</c:v>
                </c:pt>
                <c:pt idx="314">
                  <c:v>21</c:v>
                </c:pt>
                <c:pt idx="315">
                  <c:v>28</c:v>
                </c:pt>
                <c:pt idx="316">
                  <c:v>28</c:v>
                </c:pt>
                <c:pt idx="317">
                  <c:v>28</c:v>
                </c:pt>
                <c:pt idx="318">
                  <c:v>28</c:v>
                </c:pt>
                <c:pt idx="319">
                  <c:v>28</c:v>
                </c:pt>
                <c:pt idx="320">
                  <c:v>8</c:v>
                </c:pt>
                <c:pt idx="321">
                  <c:v>8</c:v>
                </c:pt>
                <c:pt idx="322">
                  <c:v>8</c:v>
                </c:pt>
                <c:pt idx="323">
                  <c:v>8</c:v>
                </c:pt>
                <c:pt idx="324">
                  <c:v>8</c:v>
                </c:pt>
                <c:pt idx="325">
                  <c:v>12</c:v>
                </c:pt>
                <c:pt idx="326">
                  <c:v>24</c:v>
                </c:pt>
                <c:pt idx="327">
                  <c:v>24</c:v>
                </c:pt>
                <c:pt idx="328">
                  <c:v>24</c:v>
                </c:pt>
                <c:pt idx="329">
                  <c:v>24</c:v>
                </c:pt>
                <c:pt idx="330">
                  <c:v>16</c:v>
                </c:pt>
                <c:pt idx="331">
                  <c:v>16</c:v>
                </c:pt>
                <c:pt idx="332">
                  <c:v>16</c:v>
                </c:pt>
                <c:pt idx="333">
                  <c:v>39</c:v>
                </c:pt>
                <c:pt idx="334">
                  <c:v>9</c:v>
                </c:pt>
                <c:pt idx="335">
                  <c:v>10</c:v>
                </c:pt>
                <c:pt idx="336">
                  <c:v>10</c:v>
                </c:pt>
                <c:pt idx="337">
                  <c:v>17</c:v>
                </c:pt>
                <c:pt idx="338">
                  <c:v>11</c:v>
                </c:pt>
                <c:pt idx="339">
                  <c:v>14</c:v>
                </c:pt>
                <c:pt idx="340">
                  <c:v>12</c:v>
                </c:pt>
                <c:pt idx="341">
                  <c:v>53</c:v>
                </c:pt>
                <c:pt idx="342">
                  <c:v>6</c:v>
                </c:pt>
                <c:pt idx="343">
                  <c:v>6</c:v>
                </c:pt>
                <c:pt idx="344">
                  <c:v>8</c:v>
                </c:pt>
                <c:pt idx="345">
                  <c:v>8</c:v>
                </c:pt>
                <c:pt idx="346">
                  <c:v>12</c:v>
                </c:pt>
                <c:pt idx="347">
                  <c:v>12</c:v>
                </c:pt>
                <c:pt idx="348">
                  <c:v>12</c:v>
                </c:pt>
                <c:pt idx="349">
                  <c:v>21</c:v>
                </c:pt>
                <c:pt idx="350">
                  <c:v>6</c:v>
                </c:pt>
                <c:pt idx="351">
                  <c:v>6</c:v>
                </c:pt>
                <c:pt idx="352">
                  <c:v>13</c:v>
                </c:pt>
                <c:pt idx="353">
                  <c:v>0</c:v>
                </c:pt>
                <c:pt idx="354">
                  <c:v>11</c:v>
                </c:pt>
                <c:pt idx="355">
                  <c:v>9</c:v>
                </c:pt>
                <c:pt idx="356">
                  <c:v>9</c:v>
                </c:pt>
                <c:pt idx="357">
                  <c:v>9</c:v>
                </c:pt>
                <c:pt idx="358">
                  <c:v>15</c:v>
                </c:pt>
                <c:pt idx="359">
                  <c:v>11</c:v>
                </c:pt>
                <c:pt idx="360">
                  <c:v>13</c:v>
                </c:pt>
                <c:pt idx="361">
                  <c:v>13</c:v>
                </c:pt>
                <c:pt idx="362">
                  <c:v>7</c:v>
                </c:pt>
                <c:pt idx="363">
                  <c:v>13</c:v>
                </c:pt>
                <c:pt idx="364">
                  <c:v>6</c:v>
                </c:pt>
                <c:pt idx="365">
                  <c:v>6</c:v>
                </c:pt>
                <c:pt idx="366">
                  <c:v>6</c:v>
                </c:pt>
                <c:pt idx="367">
                  <c:v>6</c:v>
                </c:pt>
                <c:pt idx="368">
                  <c:v>6</c:v>
                </c:pt>
                <c:pt idx="369">
                  <c:v>9</c:v>
                </c:pt>
                <c:pt idx="370">
                  <c:v>6</c:v>
                </c:pt>
                <c:pt idx="371">
                  <c:v>6</c:v>
                </c:pt>
                <c:pt idx="372">
                  <c:v>6</c:v>
                </c:pt>
                <c:pt idx="373">
                  <c:v>6</c:v>
                </c:pt>
                <c:pt idx="374">
                  <c:v>6</c:v>
                </c:pt>
                <c:pt idx="375">
                  <c:v>6</c:v>
                </c:pt>
                <c:pt idx="376">
                  <c:v>0</c:v>
                </c:pt>
                <c:pt idx="377">
                  <c:v>18</c:v>
                </c:pt>
                <c:pt idx="378">
                  <c:v>7</c:v>
                </c:pt>
                <c:pt idx="379">
                  <c:v>14</c:v>
                </c:pt>
                <c:pt idx="380">
                  <c:v>14</c:v>
                </c:pt>
                <c:pt idx="381">
                  <c:v>9</c:v>
                </c:pt>
                <c:pt idx="382">
                  <c:v>16</c:v>
                </c:pt>
                <c:pt idx="383">
                  <c:v>2</c:v>
                </c:pt>
                <c:pt idx="384">
                  <c:v>2</c:v>
                </c:pt>
                <c:pt idx="385">
                  <c:v>5</c:v>
                </c:pt>
                <c:pt idx="386">
                  <c:v>5</c:v>
                </c:pt>
                <c:pt idx="387">
                  <c:v>20</c:v>
                </c:pt>
                <c:pt idx="388">
                  <c:v>20</c:v>
                </c:pt>
                <c:pt idx="389">
                  <c:v>7</c:v>
                </c:pt>
                <c:pt idx="390">
                  <c:v>7</c:v>
                </c:pt>
                <c:pt idx="391">
                  <c:v>7</c:v>
                </c:pt>
                <c:pt idx="392">
                  <c:v>14</c:v>
                </c:pt>
                <c:pt idx="393">
                  <c:v>10</c:v>
                </c:pt>
                <c:pt idx="394">
                  <c:v>7</c:v>
                </c:pt>
                <c:pt idx="395">
                  <c:v>13</c:v>
                </c:pt>
                <c:pt idx="396">
                  <c:v>11</c:v>
                </c:pt>
                <c:pt idx="397">
                  <c:v>6</c:v>
                </c:pt>
                <c:pt idx="398">
                  <c:v>6</c:v>
                </c:pt>
                <c:pt idx="399">
                  <c:v>8</c:v>
                </c:pt>
                <c:pt idx="400">
                  <c:v>7</c:v>
                </c:pt>
                <c:pt idx="401">
                  <c:v>14</c:v>
                </c:pt>
                <c:pt idx="402">
                  <c:v>14</c:v>
                </c:pt>
                <c:pt idx="403">
                  <c:v>8</c:v>
                </c:pt>
                <c:pt idx="404">
                  <c:v>8</c:v>
                </c:pt>
                <c:pt idx="405">
                  <c:v>30</c:v>
                </c:pt>
                <c:pt idx="406">
                  <c:v>30</c:v>
                </c:pt>
                <c:pt idx="407">
                  <c:v>13</c:v>
                </c:pt>
                <c:pt idx="408">
                  <c:v>9</c:v>
                </c:pt>
                <c:pt idx="409">
                  <c:v>9</c:v>
                </c:pt>
                <c:pt idx="410">
                  <c:v>7</c:v>
                </c:pt>
                <c:pt idx="411">
                  <c:v>7</c:v>
                </c:pt>
                <c:pt idx="412">
                  <c:v>9</c:v>
                </c:pt>
                <c:pt idx="413">
                  <c:v>7</c:v>
                </c:pt>
                <c:pt idx="414">
                  <c:v>7</c:v>
                </c:pt>
                <c:pt idx="415">
                  <c:v>20</c:v>
                </c:pt>
                <c:pt idx="416">
                  <c:v>13</c:v>
                </c:pt>
                <c:pt idx="417">
                  <c:v>13</c:v>
                </c:pt>
                <c:pt idx="418">
                  <c:v>11</c:v>
                </c:pt>
                <c:pt idx="419">
                  <c:v>11</c:v>
                </c:pt>
                <c:pt idx="420">
                  <c:v>11</c:v>
                </c:pt>
                <c:pt idx="421">
                  <c:v>11</c:v>
                </c:pt>
                <c:pt idx="422">
                  <c:v>18</c:v>
                </c:pt>
                <c:pt idx="423">
                  <c:v>14</c:v>
                </c:pt>
                <c:pt idx="424">
                  <c:v>19</c:v>
                </c:pt>
                <c:pt idx="425">
                  <c:v>13</c:v>
                </c:pt>
                <c:pt idx="426">
                  <c:v>5</c:v>
                </c:pt>
                <c:pt idx="427">
                  <c:v>10</c:v>
                </c:pt>
                <c:pt idx="428">
                  <c:v>9</c:v>
                </c:pt>
                <c:pt idx="429">
                  <c:v>8</c:v>
                </c:pt>
                <c:pt idx="430">
                  <c:v>8</c:v>
                </c:pt>
                <c:pt idx="431">
                  <c:v>12</c:v>
                </c:pt>
                <c:pt idx="432">
                  <c:v>11</c:v>
                </c:pt>
                <c:pt idx="433">
                  <c:v>11</c:v>
                </c:pt>
                <c:pt idx="434">
                  <c:v>40</c:v>
                </c:pt>
                <c:pt idx="435">
                  <c:v>40</c:v>
                </c:pt>
                <c:pt idx="436">
                  <c:v>40</c:v>
                </c:pt>
                <c:pt idx="437">
                  <c:v>40</c:v>
                </c:pt>
                <c:pt idx="438">
                  <c:v>40</c:v>
                </c:pt>
                <c:pt idx="439">
                  <c:v>36</c:v>
                </c:pt>
                <c:pt idx="440">
                  <c:v>16</c:v>
                </c:pt>
                <c:pt idx="441">
                  <c:v>17</c:v>
                </c:pt>
                <c:pt idx="442">
                  <c:v>14</c:v>
                </c:pt>
                <c:pt idx="443">
                  <c:v>21</c:v>
                </c:pt>
                <c:pt idx="444">
                  <c:v>18</c:v>
                </c:pt>
                <c:pt idx="445">
                  <c:v>17</c:v>
                </c:pt>
                <c:pt idx="446">
                  <c:v>5</c:v>
                </c:pt>
                <c:pt idx="447">
                  <c:v>5</c:v>
                </c:pt>
                <c:pt idx="448">
                  <c:v>21</c:v>
                </c:pt>
                <c:pt idx="449">
                  <c:v>18</c:v>
                </c:pt>
                <c:pt idx="450">
                  <c:v>18</c:v>
                </c:pt>
                <c:pt idx="451">
                  <c:v>12</c:v>
                </c:pt>
                <c:pt idx="452">
                  <c:v>14</c:v>
                </c:pt>
                <c:pt idx="453">
                  <c:v>12</c:v>
                </c:pt>
                <c:pt idx="454">
                  <c:v>8</c:v>
                </c:pt>
                <c:pt idx="455">
                  <c:v>8</c:v>
                </c:pt>
                <c:pt idx="456">
                  <c:v>0</c:v>
                </c:pt>
                <c:pt idx="457">
                  <c:v>14</c:v>
                </c:pt>
                <c:pt idx="458">
                  <c:v>10</c:v>
                </c:pt>
                <c:pt idx="459">
                  <c:v>15</c:v>
                </c:pt>
                <c:pt idx="460">
                  <c:v>15</c:v>
                </c:pt>
                <c:pt idx="461">
                  <c:v>15</c:v>
                </c:pt>
                <c:pt idx="462">
                  <c:v>9</c:v>
                </c:pt>
                <c:pt idx="463">
                  <c:v>7</c:v>
                </c:pt>
                <c:pt idx="464">
                  <c:v>10</c:v>
                </c:pt>
                <c:pt idx="465">
                  <c:v>6</c:v>
                </c:pt>
                <c:pt idx="466">
                  <c:v>9</c:v>
                </c:pt>
                <c:pt idx="467">
                  <c:v>10</c:v>
                </c:pt>
                <c:pt idx="468">
                  <c:v>82</c:v>
                </c:pt>
                <c:pt idx="469">
                  <c:v>12</c:v>
                </c:pt>
                <c:pt idx="470">
                  <c:v>10</c:v>
                </c:pt>
                <c:pt idx="471">
                  <c:v>5</c:v>
                </c:pt>
                <c:pt idx="472">
                  <c:v>5</c:v>
                </c:pt>
                <c:pt idx="473">
                  <c:v>5</c:v>
                </c:pt>
                <c:pt idx="474">
                  <c:v>5</c:v>
                </c:pt>
                <c:pt idx="475">
                  <c:v>5</c:v>
                </c:pt>
                <c:pt idx="476">
                  <c:v>5</c:v>
                </c:pt>
                <c:pt idx="477">
                  <c:v>5</c:v>
                </c:pt>
                <c:pt idx="478">
                  <c:v>16</c:v>
                </c:pt>
                <c:pt idx="479">
                  <c:v>16</c:v>
                </c:pt>
                <c:pt idx="480">
                  <c:v>16</c:v>
                </c:pt>
                <c:pt idx="481">
                  <c:v>10</c:v>
                </c:pt>
                <c:pt idx="482">
                  <c:v>10</c:v>
                </c:pt>
                <c:pt idx="483">
                  <c:v>10</c:v>
                </c:pt>
                <c:pt idx="484">
                  <c:v>10</c:v>
                </c:pt>
                <c:pt idx="485">
                  <c:v>4</c:v>
                </c:pt>
                <c:pt idx="486">
                  <c:v>4</c:v>
                </c:pt>
                <c:pt idx="487">
                  <c:v>16</c:v>
                </c:pt>
                <c:pt idx="488">
                  <c:v>15</c:v>
                </c:pt>
                <c:pt idx="489">
                  <c:v>19</c:v>
                </c:pt>
                <c:pt idx="490">
                  <c:v>19</c:v>
                </c:pt>
                <c:pt idx="491">
                  <c:v>9</c:v>
                </c:pt>
                <c:pt idx="492">
                  <c:v>23</c:v>
                </c:pt>
                <c:pt idx="493">
                  <c:v>11</c:v>
                </c:pt>
                <c:pt idx="494">
                  <c:v>11</c:v>
                </c:pt>
                <c:pt idx="495">
                  <c:v>23</c:v>
                </c:pt>
                <c:pt idx="496">
                  <c:v>23</c:v>
                </c:pt>
                <c:pt idx="497">
                  <c:v>23</c:v>
                </c:pt>
                <c:pt idx="498">
                  <c:v>23</c:v>
                </c:pt>
                <c:pt idx="499">
                  <c:v>12</c:v>
                </c:pt>
                <c:pt idx="500">
                  <c:v>0</c:v>
                </c:pt>
                <c:pt idx="501">
                  <c:v>0</c:v>
                </c:pt>
                <c:pt idx="502">
                  <c:v>0</c:v>
                </c:pt>
                <c:pt idx="503">
                  <c:v>0</c:v>
                </c:pt>
                <c:pt idx="504">
                  <c:v>7</c:v>
                </c:pt>
                <c:pt idx="505">
                  <c:v>21</c:v>
                </c:pt>
                <c:pt idx="506">
                  <c:v>21</c:v>
                </c:pt>
                <c:pt idx="507">
                  <c:v>15</c:v>
                </c:pt>
                <c:pt idx="508">
                  <c:v>9</c:v>
                </c:pt>
                <c:pt idx="509">
                  <c:v>5</c:v>
                </c:pt>
                <c:pt idx="510">
                  <c:v>16</c:v>
                </c:pt>
                <c:pt idx="511">
                  <c:v>16</c:v>
                </c:pt>
                <c:pt idx="512">
                  <c:v>16</c:v>
                </c:pt>
                <c:pt idx="513">
                  <c:v>13</c:v>
                </c:pt>
                <c:pt idx="514">
                  <c:v>16</c:v>
                </c:pt>
                <c:pt idx="515">
                  <c:v>20</c:v>
                </c:pt>
                <c:pt idx="516">
                  <c:v>11</c:v>
                </c:pt>
                <c:pt idx="517">
                  <c:v>4</c:v>
                </c:pt>
                <c:pt idx="518">
                  <c:v>9</c:v>
                </c:pt>
                <c:pt idx="519">
                  <c:v>42</c:v>
                </c:pt>
                <c:pt idx="520">
                  <c:v>12</c:v>
                </c:pt>
                <c:pt idx="521">
                  <c:v>18</c:v>
                </c:pt>
                <c:pt idx="522">
                  <c:v>17</c:v>
                </c:pt>
                <c:pt idx="523">
                  <c:v>14</c:v>
                </c:pt>
                <c:pt idx="524">
                  <c:v>13</c:v>
                </c:pt>
                <c:pt idx="525">
                  <c:v>9</c:v>
                </c:pt>
                <c:pt idx="526">
                  <c:v>6</c:v>
                </c:pt>
                <c:pt idx="527">
                  <c:v>6</c:v>
                </c:pt>
                <c:pt idx="528">
                  <c:v>14</c:v>
                </c:pt>
                <c:pt idx="529">
                  <c:v>15</c:v>
                </c:pt>
                <c:pt idx="530">
                  <c:v>13</c:v>
                </c:pt>
                <c:pt idx="531">
                  <c:v>12</c:v>
                </c:pt>
                <c:pt idx="532">
                  <c:v>18</c:v>
                </c:pt>
                <c:pt idx="533">
                  <c:v>15</c:v>
                </c:pt>
                <c:pt idx="534">
                  <c:v>11</c:v>
                </c:pt>
                <c:pt idx="535">
                  <c:v>9</c:v>
                </c:pt>
                <c:pt idx="536">
                  <c:v>9</c:v>
                </c:pt>
                <c:pt idx="537">
                  <c:v>9</c:v>
                </c:pt>
                <c:pt idx="538">
                  <c:v>9</c:v>
                </c:pt>
                <c:pt idx="539">
                  <c:v>9</c:v>
                </c:pt>
                <c:pt idx="540">
                  <c:v>8</c:v>
                </c:pt>
                <c:pt idx="541">
                  <c:v>8</c:v>
                </c:pt>
                <c:pt idx="542">
                  <c:v>8</c:v>
                </c:pt>
                <c:pt idx="543">
                  <c:v>8</c:v>
                </c:pt>
                <c:pt idx="544">
                  <c:v>8</c:v>
                </c:pt>
              </c:numCache>
            </c:numRef>
          </c:xVal>
          <c:yVal>
            <c:numRef>
              <c:f>'correlation for price analysis'!$B$2:$B$546</c:f>
              <c:numCache>
                <c:formatCode>General</c:formatCode>
                <c:ptCount val="545"/>
                <c:pt idx="0">
                  <c:v>4.7</c:v>
                </c:pt>
                <c:pt idx="1">
                  <c:v>4.5999999999999996</c:v>
                </c:pt>
                <c:pt idx="2">
                  <c:v>4.7</c:v>
                </c:pt>
                <c:pt idx="3">
                  <c:v>4.7</c:v>
                </c:pt>
                <c:pt idx="4">
                  <c:v>4.7</c:v>
                </c:pt>
                <c:pt idx="5">
                  <c:v>4.7</c:v>
                </c:pt>
                <c:pt idx="6">
                  <c:v>4.5999999999999996</c:v>
                </c:pt>
                <c:pt idx="7">
                  <c:v>4.5999999999999996</c:v>
                </c:pt>
                <c:pt idx="8">
                  <c:v>4.5999999999999996</c:v>
                </c:pt>
                <c:pt idx="9">
                  <c:v>4.5999999999999996</c:v>
                </c:pt>
                <c:pt idx="10">
                  <c:v>4.5</c:v>
                </c:pt>
                <c:pt idx="11">
                  <c:v>4.5999999999999996</c:v>
                </c:pt>
                <c:pt idx="12">
                  <c:v>4.5</c:v>
                </c:pt>
                <c:pt idx="13">
                  <c:v>4.5999999999999996</c:v>
                </c:pt>
                <c:pt idx="14">
                  <c:v>4.4000000000000004</c:v>
                </c:pt>
                <c:pt idx="15">
                  <c:v>4.5</c:v>
                </c:pt>
                <c:pt idx="16">
                  <c:v>4.8</c:v>
                </c:pt>
                <c:pt idx="17">
                  <c:v>4.5999999999999996</c:v>
                </c:pt>
                <c:pt idx="18">
                  <c:v>4.5999999999999996</c:v>
                </c:pt>
                <c:pt idx="19">
                  <c:v>4.3</c:v>
                </c:pt>
                <c:pt idx="20">
                  <c:v>4.5999999999999996</c:v>
                </c:pt>
                <c:pt idx="21">
                  <c:v>4.7</c:v>
                </c:pt>
                <c:pt idx="22">
                  <c:v>4.2</c:v>
                </c:pt>
                <c:pt idx="23">
                  <c:v>4.5999999999999996</c:v>
                </c:pt>
                <c:pt idx="24">
                  <c:v>4.5999999999999996</c:v>
                </c:pt>
                <c:pt idx="25">
                  <c:v>4.8</c:v>
                </c:pt>
                <c:pt idx="26">
                  <c:v>4.7</c:v>
                </c:pt>
                <c:pt idx="27">
                  <c:v>4.8</c:v>
                </c:pt>
                <c:pt idx="28">
                  <c:v>4.8</c:v>
                </c:pt>
                <c:pt idx="29">
                  <c:v>4.8</c:v>
                </c:pt>
                <c:pt idx="30">
                  <c:v>4.7</c:v>
                </c:pt>
                <c:pt idx="31">
                  <c:v>4.7</c:v>
                </c:pt>
                <c:pt idx="32">
                  <c:v>4.7</c:v>
                </c:pt>
                <c:pt idx="33">
                  <c:v>4.5999999999999996</c:v>
                </c:pt>
                <c:pt idx="34">
                  <c:v>4.5</c:v>
                </c:pt>
                <c:pt idx="35">
                  <c:v>4.9000000000000004</c:v>
                </c:pt>
                <c:pt idx="36">
                  <c:v>4.9000000000000004</c:v>
                </c:pt>
                <c:pt idx="37">
                  <c:v>4.8</c:v>
                </c:pt>
                <c:pt idx="38">
                  <c:v>4.5999999999999996</c:v>
                </c:pt>
                <c:pt idx="39">
                  <c:v>4.8</c:v>
                </c:pt>
                <c:pt idx="40">
                  <c:v>4.5</c:v>
                </c:pt>
                <c:pt idx="41">
                  <c:v>4.7</c:v>
                </c:pt>
                <c:pt idx="42">
                  <c:v>4.7</c:v>
                </c:pt>
                <c:pt idx="43">
                  <c:v>4.7</c:v>
                </c:pt>
                <c:pt idx="44">
                  <c:v>4.7</c:v>
                </c:pt>
                <c:pt idx="45">
                  <c:v>4.7</c:v>
                </c:pt>
                <c:pt idx="46">
                  <c:v>4.7</c:v>
                </c:pt>
                <c:pt idx="47">
                  <c:v>4.7</c:v>
                </c:pt>
                <c:pt idx="48">
                  <c:v>4.3</c:v>
                </c:pt>
                <c:pt idx="49">
                  <c:v>4.8</c:v>
                </c:pt>
                <c:pt idx="50">
                  <c:v>4.8</c:v>
                </c:pt>
                <c:pt idx="51">
                  <c:v>4.5999999999999996</c:v>
                </c:pt>
                <c:pt idx="52">
                  <c:v>4.5999999999999996</c:v>
                </c:pt>
                <c:pt idx="53">
                  <c:v>4.8</c:v>
                </c:pt>
                <c:pt idx="54">
                  <c:v>4.4000000000000004</c:v>
                </c:pt>
                <c:pt idx="55">
                  <c:v>4.5999999999999996</c:v>
                </c:pt>
                <c:pt idx="56">
                  <c:v>4.3</c:v>
                </c:pt>
                <c:pt idx="57">
                  <c:v>4.2</c:v>
                </c:pt>
                <c:pt idx="58">
                  <c:v>4.8</c:v>
                </c:pt>
                <c:pt idx="59">
                  <c:v>4.8</c:v>
                </c:pt>
                <c:pt idx="60">
                  <c:v>4.8</c:v>
                </c:pt>
                <c:pt idx="61">
                  <c:v>4.8</c:v>
                </c:pt>
                <c:pt idx="62">
                  <c:v>4.5999999999999996</c:v>
                </c:pt>
                <c:pt idx="63">
                  <c:v>4.5999999999999996</c:v>
                </c:pt>
                <c:pt idx="64">
                  <c:v>4.5</c:v>
                </c:pt>
                <c:pt idx="65">
                  <c:v>4.5</c:v>
                </c:pt>
                <c:pt idx="66">
                  <c:v>4.8</c:v>
                </c:pt>
                <c:pt idx="67">
                  <c:v>4.8</c:v>
                </c:pt>
                <c:pt idx="68">
                  <c:v>4.8</c:v>
                </c:pt>
                <c:pt idx="69">
                  <c:v>4.5999999999999996</c:v>
                </c:pt>
                <c:pt idx="70">
                  <c:v>4.5999999999999996</c:v>
                </c:pt>
                <c:pt idx="71">
                  <c:v>4.5999999999999996</c:v>
                </c:pt>
                <c:pt idx="72">
                  <c:v>4.5</c:v>
                </c:pt>
                <c:pt idx="73">
                  <c:v>4.5999999999999996</c:v>
                </c:pt>
                <c:pt idx="74">
                  <c:v>4.7</c:v>
                </c:pt>
                <c:pt idx="75">
                  <c:v>4.8</c:v>
                </c:pt>
                <c:pt idx="76">
                  <c:v>4.9000000000000004</c:v>
                </c:pt>
                <c:pt idx="77">
                  <c:v>4.9000000000000004</c:v>
                </c:pt>
                <c:pt idx="78">
                  <c:v>4.9000000000000004</c:v>
                </c:pt>
                <c:pt idx="79">
                  <c:v>4.9000000000000004</c:v>
                </c:pt>
                <c:pt idx="80">
                  <c:v>4.9000000000000004</c:v>
                </c:pt>
                <c:pt idx="81">
                  <c:v>4.9000000000000004</c:v>
                </c:pt>
                <c:pt idx="82">
                  <c:v>4.9000000000000004</c:v>
                </c:pt>
                <c:pt idx="83">
                  <c:v>4.8</c:v>
                </c:pt>
                <c:pt idx="84">
                  <c:v>4.5999999999999996</c:v>
                </c:pt>
                <c:pt idx="85">
                  <c:v>4.5</c:v>
                </c:pt>
                <c:pt idx="86">
                  <c:v>4.5</c:v>
                </c:pt>
                <c:pt idx="87">
                  <c:v>4.3</c:v>
                </c:pt>
                <c:pt idx="88">
                  <c:v>4.5</c:v>
                </c:pt>
                <c:pt idx="89">
                  <c:v>4.5</c:v>
                </c:pt>
                <c:pt idx="90">
                  <c:v>4.7</c:v>
                </c:pt>
                <c:pt idx="91">
                  <c:v>4.7</c:v>
                </c:pt>
                <c:pt idx="92">
                  <c:v>4.7</c:v>
                </c:pt>
                <c:pt idx="93">
                  <c:v>4.7</c:v>
                </c:pt>
                <c:pt idx="94">
                  <c:v>4.7</c:v>
                </c:pt>
                <c:pt idx="95">
                  <c:v>4.5999999999999996</c:v>
                </c:pt>
                <c:pt idx="96">
                  <c:v>4.5999999999999996</c:v>
                </c:pt>
                <c:pt idx="97">
                  <c:v>4.7</c:v>
                </c:pt>
                <c:pt idx="98">
                  <c:v>4.4000000000000004</c:v>
                </c:pt>
                <c:pt idx="99">
                  <c:v>4.4000000000000004</c:v>
                </c:pt>
                <c:pt idx="100">
                  <c:v>4.5</c:v>
                </c:pt>
                <c:pt idx="101">
                  <c:v>3.8</c:v>
                </c:pt>
                <c:pt idx="102">
                  <c:v>3.8</c:v>
                </c:pt>
                <c:pt idx="103">
                  <c:v>4.5</c:v>
                </c:pt>
                <c:pt idx="104">
                  <c:v>4.2</c:v>
                </c:pt>
                <c:pt idx="105">
                  <c:v>4.7</c:v>
                </c:pt>
                <c:pt idx="106">
                  <c:v>4.7</c:v>
                </c:pt>
                <c:pt idx="107">
                  <c:v>4.7</c:v>
                </c:pt>
                <c:pt idx="108">
                  <c:v>4.7</c:v>
                </c:pt>
                <c:pt idx="109">
                  <c:v>4.7</c:v>
                </c:pt>
                <c:pt idx="110">
                  <c:v>4.4000000000000004</c:v>
                </c:pt>
                <c:pt idx="111">
                  <c:v>4.7</c:v>
                </c:pt>
                <c:pt idx="112">
                  <c:v>4.4000000000000004</c:v>
                </c:pt>
                <c:pt idx="113">
                  <c:v>4.5999999999999996</c:v>
                </c:pt>
                <c:pt idx="114">
                  <c:v>4.5999999999999996</c:v>
                </c:pt>
                <c:pt idx="115">
                  <c:v>4.5999999999999996</c:v>
                </c:pt>
                <c:pt idx="116">
                  <c:v>4.5</c:v>
                </c:pt>
                <c:pt idx="117">
                  <c:v>4.5999999999999996</c:v>
                </c:pt>
                <c:pt idx="118">
                  <c:v>4.8</c:v>
                </c:pt>
                <c:pt idx="119">
                  <c:v>4.8</c:v>
                </c:pt>
                <c:pt idx="120">
                  <c:v>4.8</c:v>
                </c:pt>
                <c:pt idx="121">
                  <c:v>4.8</c:v>
                </c:pt>
                <c:pt idx="122">
                  <c:v>4.8</c:v>
                </c:pt>
                <c:pt idx="123">
                  <c:v>4.5999999999999996</c:v>
                </c:pt>
                <c:pt idx="124">
                  <c:v>4.5999999999999996</c:v>
                </c:pt>
                <c:pt idx="125">
                  <c:v>4.5999999999999996</c:v>
                </c:pt>
                <c:pt idx="126">
                  <c:v>4.5999999999999996</c:v>
                </c:pt>
                <c:pt idx="127">
                  <c:v>3.6</c:v>
                </c:pt>
                <c:pt idx="128">
                  <c:v>4.8</c:v>
                </c:pt>
                <c:pt idx="129">
                  <c:v>4.5999999999999996</c:v>
                </c:pt>
                <c:pt idx="130">
                  <c:v>4</c:v>
                </c:pt>
                <c:pt idx="131">
                  <c:v>4</c:v>
                </c:pt>
                <c:pt idx="132">
                  <c:v>4</c:v>
                </c:pt>
                <c:pt idx="133">
                  <c:v>4.5999999999999996</c:v>
                </c:pt>
                <c:pt idx="134">
                  <c:v>4.5</c:v>
                </c:pt>
                <c:pt idx="135">
                  <c:v>4.5</c:v>
                </c:pt>
                <c:pt idx="136">
                  <c:v>4.5</c:v>
                </c:pt>
                <c:pt idx="137">
                  <c:v>4.5</c:v>
                </c:pt>
                <c:pt idx="138">
                  <c:v>4.8</c:v>
                </c:pt>
                <c:pt idx="139">
                  <c:v>4.8</c:v>
                </c:pt>
                <c:pt idx="140">
                  <c:v>4.8</c:v>
                </c:pt>
                <c:pt idx="141">
                  <c:v>4.9000000000000004</c:v>
                </c:pt>
                <c:pt idx="142">
                  <c:v>4.9000000000000004</c:v>
                </c:pt>
                <c:pt idx="143">
                  <c:v>4.5999999999999996</c:v>
                </c:pt>
                <c:pt idx="144">
                  <c:v>4.4000000000000004</c:v>
                </c:pt>
                <c:pt idx="145">
                  <c:v>4.8</c:v>
                </c:pt>
                <c:pt idx="146">
                  <c:v>4.9000000000000004</c:v>
                </c:pt>
                <c:pt idx="147">
                  <c:v>4.8</c:v>
                </c:pt>
                <c:pt idx="148">
                  <c:v>4.9000000000000004</c:v>
                </c:pt>
                <c:pt idx="149">
                  <c:v>4</c:v>
                </c:pt>
                <c:pt idx="150">
                  <c:v>4.9000000000000004</c:v>
                </c:pt>
                <c:pt idx="151">
                  <c:v>4.9000000000000004</c:v>
                </c:pt>
                <c:pt idx="152">
                  <c:v>4.9000000000000004</c:v>
                </c:pt>
                <c:pt idx="153">
                  <c:v>4.7</c:v>
                </c:pt>
                <c:pt idx="154">
                  <c:v>4.8</c:v>
                </c:pt>
                <c:pt idx="155">
                  <c:v>4.8</c:v>
                </c:pt>
                <c:pt idx="156">
                  <c:v>4.7</c:v>
                </c:pt>
                <c:pt idx="157">
                  <c:v>4.7</c:v>
                </c:pt>
                <c:pt idx="158">
                  <c:v>4.4000000000000004</c:v>
                </c:pt>
                <c:pt idx="159">
                  <c:v>4.4000000000000004</c:v>
                </c:pt>
                <c:pt idx="160">
                  <c:v>4.8</c:v>
                </c:pt>
                <c:pt idx="161">
                  <c:v>4.7</c:v>
                </c:pt>
                <c:pt idx="162">
                  <c:v>4.7</c:v>
                </c:pt>
                <c:pt idx="163">
                  <c:v>4.7</c:v>
                </c:pt>
                <c:pt idx="164">
                  <c:v>4.7</c:v>
                </c:pt>
                <c:pt idx="165">
                  <c:v>4.7</c:v>
                </c:pt>
                <c:pt idx="166">
                  <c:v>4.3</c:v>
                </c:pt>
                <c:pt idx="167">
                  <c:v>4.8</c:v>
                </c:pt>
                <c:pt idx="168">
                  <c:v>4.8</c:v>
                </c:pt>
                <c:pt idx="169">
                  <c:v>4.9000000000000004</c:v>
                </c:pt>
                <c:pt idx="170">
                  <c:v>4.7</c:v>
                </c:pt>
                <c:pt idx="171">
                  <c:v>4.8</c:v>
                </c:pt>
                <c:pt idx="172">
                  <c:v>4.5999999999999996</c:v>
                </c:pt>
                <c:pt idx="173">
                  <c:v>4.8</c:v>
                </c:pt>
                <c:pt idx="174">
                  <c:v>4.8</c:v>
                </c:pt>
                <c:pt idx="175">
                  <c:v>4.3</c:v>
                </c:pt>
                <c:pt idx="176">
                  <c:v>4.4000000000000004</c:v>
                </c:pt>
                <c:pt idx="177">
                  <c:v>4.0999999999999996</c:v>
                </c:pt>
                <c:pt idx="178">
                  <c:v>4.5999999999999996</c:v>
                </c:pt>
                <c:pt idx="179">
                  <c:v>4.4000000000000004</c:v>
                </c:pt>
                <c:pt idx="180">
                  <c:v>4.4000000000000004</c:v>
                </c:pt>
                <c:pt idx="181">
                  <c:v>4.8</c:v>
                </c:pt>
                <c:pt idx="182">
                  <c:v>4.9000000000000004</c:v>
                </c:pt>
                <c:pt idx="183">
                  <c:v>4.9000000000000004</c:v>
                </c:pt>
                <c:pt idx="184">
                  <c:v>4.9000000000000004</c:v>
                </c:pt>
                <c:pt idx="185">
                  <c:v>4.9000000000000004</c:v>
                </c:pt>
                <c:pt idx="186">
                  <c:v>4.9000000000000004</c:v>
                </c:pt>
                <c:pt idx="187">
                  <c:v>4.9000000000000004</c:v>
                </c:pt>
                <c:pt idx="188">
                  <c:v>4.5999999999999996</c:v>
                </c:pt>
                <c:pt idx="189">
                  <c:v>4.5</c:v>
                </c:pt>
                <c:pt idx="190">
                  <c:v>4.5999999999999996</c:v>
                </c:pt>
                <c:pt idx="191">
                  <c:v>4.5</c:v>
                </c:pt>
                <c:pt idx="192">
                  <c:v>4.5999999999999996</c:v>
                </c:pt>
                <c:pt idx="193">
                  <c:v>4.7</c:v>
                </c:pt>
                <c:pt idx="194">
                  <c:v>4.7</c:v>
                </c:pt>
                <c:pt idx="195">
                  <c:v>4.5999999999999996</c:v>
                </c:pt>
                <c:pt idx="196">
                  <c:v>4.5999999999999996</c:v>
                </c:pt>
                <c:pt idx="197">
                  <c:v>4.8</c:v>
                </c:pt>
                <c:pt idx="198">
                  <c:v>4.8</c:v>
                </c:pt>
                <c:pt idx="199">
                  <c:v>4.5</c:v>
                </c:pt>
                <c:pt idx="200">
                  <c:v>4.5</c:v>
                </c:pt>
                <c:pt idx="201">
                  <c:v>4.5</c:v>
                </c:pt>
                <c:pt idx="202">
                  <c:v>4.9000000000000004</c:v>
                </c:pt>
                <c:pt idx="203">
                  <c:v>4.5999999999999996</c:v>
                </c:pt>
                <c:pt idx="204">
                  <c:v>4.5999999999999996</c:v>
                </c:pt>
                <c:pt idx="205">
                  <c:v>4.5999999999999996</c:v>
                </c:pt>
                <c:pt idx="206">
                  <c:v>4.5999999999999996</c:v>
                </c:pt>
                <c:pt idx="207">
                  <c:v>4.5999999999999996</c:v>
                </c:pt>
                <c:pt idx="208">
                  <c:v>4.5</c:v>
                </c:pt>
                <c:pt idx="209">
                  <c:v>4.5</c:v>
                </c:pt>
                <c:pt idx="210">
                  <c:v>4.4000000000000004</c:v>
                </c:pt>
                <c:pt idx="211">
                  <c:v>4.8</c:v>
                </c:pt>
                <c:pt idx="212">
                  <c:v>4.5</c:v>
                </c:pt>
                <c:pt idx="213">
                  <c:v>4.0999999999999996</c:v>
                </c:pt>
                <c:pt idx="214">
                  <c:v>4.9000000000000004</c:v>
                </c:pt>
                <c:pt idx="215">
                  <c:v>4.5</c:v>
                </c:pt>
                <c:pt idx="216">
                  <c:v>4.5</c:v>
                </c:pt>
                <c:pt idx="217">
                  <c:v>4.2</c:v>
                </c:pt>
                <c:pt idx="218">
                  <c:v>4.8</c:v>
                </c:pt>
                <c:pt idx="219">
                  <c:v>4.8</c:v>
                </c:pt>
                <c:pt idx="220">
                  <c:v>4.8</c:v>
                </c:pt>
                <c:pt idx="221">
                  <c:v>4.5</c:v>
                </c:pt>
                <c:pt idx="222">
                  <c:v>4.7</c:v>
                </c:pt>
                <c:pt idx="223">
                  <c:v>4.8</c:v>
                </c:pt>
                <c:pt idx="224">
                  <c:v>4.7</c:v>
                </c:pt>
                <c:pt idx="225">
                  <c:v>4.7</c:v>
                </c:pt>
                <c:pt idx="226">
                  <c:v>4.7</c:v>
                </c:pt>
                <c:pt idx="227">
                  <c:v>4.4000000000000004</c:v>
                </c:pt>
                <c:pt idx="228">
                  <c:v>4.5999999999999996</c:v>
                </c:pt>
                <c:pt idx="229">
                  <c:v>4.5999999999999996</c:v>
                </c:pt>
                <c:pt idx="230">
                  <c:v>4.5999999999999996</c:v>
                </c:pt>
                <c:pt idx="231">
                  <c:v>4.5</c:v>
                </c:pt>
                <c:pt idx="232">
                  <c:v>4.5</c:v>
                </c:pt>
                <c:pt idx="233">
                  <c:v>4.5</c:v>
                </c:pt>
                <c:pt idx="234">
                  <c:v>4.8</c:v>
                </c:pt>
                <c:pt idx="235">
                  <c:v>4.8</c:v>
                </c:pt>
                <c:pt idx="236">
                  <c:v>4.5999999999999996</c:v>
                </c:pt>
                <c:pt idx="237">
                  <c:v>4.7</c:v>
                </c:pt>
                <c:pt idx="238">
                  <c:v>4.5999999999999996</c:v>
                </c:pt>
                <c:pt idx="239">
                  <c:v>4.9000000000000004</c:v>
                </c:pt>
                <c:pt idx="240">
                  <c:v>4.9000000000000004</c:v>
                </c:pt>
                <c:pt idx="241">
                  <c:v>4.9000000000000004</c:v>
                </c:pt>
                <c:pt idx="242">
                  <c:v>4.9000000000000004</c:v>
                </c:pt>
                <c:pt idx="243">
                  <c:v>4.9000000000000004</c:v>
                </c:pt>
                <c:pt idx="244">
                  <c:v>4.9000000000000004</c:v>
                </c:pt>
                <c:pt idx="245">
                  <c:v>4.9000000000000004</c:v>
                </c:pt>
                <c:pt idx="246">
                  <c:v>4.9000000000000004</c:v>
                </c:pt>
                <c:pt idx="247">
                  <c:v>4.9000000000000004</c:v>
                </c:pt>
                <c:pt idx="248">
                  <c:v>4.8</c:v>
                </c:pt>
                <c:pt idx="249">
                  <c:v>4.2</c:v>
                </c:pt>
                <c:pt idx="250">
                  <c:v>4.5999999999999996</c:v>
                </c:pt>
                <c:pt idx="251">
                  <c:v>4.5999999999999996</c:v>
                </c:pt>
                <c:pt idx="252">
                  <c:v>4.5</c:v>
                </c:pt>
                <c:pt idx="253">
                  <c:v>4.3</c:v>
                </c:pt>
                <c:pt idx="254">
                  <c:v>4.5999999999999996</c:v>
                </c:pt>
                <c:pt idx="255">
                  <c:v>4.5999999999999996</c:v>
                </c:pt>
                <c:pt idx="256">
                  <c:v>4.5999999999999996</c:v>
                </c:pt>
                <c:pt idx="257">
                  <c:v>4.7</c:v>
                </c:pt>
                <c:pt idx="258">
                  <c:v>4.7</c:v>
                </c:pt>
                <c:pt idx="259">
                  <c:v>4.8</c:v>
                </c:pt>
                <c:pt idx="260">
                  <c:v>4.8</c:v>
                </c:pt>
                <c:pt idx="261">
                  <c:v>4.8</c:v>
                </c:pt>
                <c:pt idx="262">
                  <c:v>4.8</c:v>
                </c:pt>
                <c:pt idx="263">
                  <c:v>4.7</c:v>
                </c:pt>
                <c:pt idx="264">
                  <c:v>4.3</c:v>
                </c:pt>
                <c:pt idx="265">
                  <c:v>4.3</c:v>
                </c:pt>
                <c:pt idx="266">
                  <c:v>4.5</c:v>
                </c:pt>
                <c:pt idx="267">
                  <c:v>4.5</c:v>
                </c:pt>
                <c:pt idx="268">
                  <c:v>4.5</c:v>
                </c:pt>
                <c:pt idx="269">
                  <c:v>4.5</c:v>
                </c:pt>
                <c:pt idx="270">
                  <c:v>4.5</c:v>
                </c:pt>
                <c:pt idx="271">
                  <c:v>4.5</c:v>
                </c:pt>
                <c:pt idx="272">
                  <c:v>4.5</c:v>
                </c:pt>
                <c:pt idx="273">
                  <c:v>4.5</c:v>
                </c:pt>
                <c:pt idx="274">
                  <c:v>4.5</c:v>
                </c:pt>
                <c:pt idx="275">
                  <c:v>4.5</c:v>
                </c:pt>
                <c:pt idx="276">
                  <c:v>4.8</c:v>
                </c:pt>
                <c:pt idx="277">
                  <c:v>4.5999999999999996</c:v>
                </c:pt>
                <c:pt idx="278">
                  <c:v>4.5999999999999996</c:v>
                </c:pt>
                <c:pt idx="279">
                  <c:v>4.7</c:v>
                </c:pt>
                <c:pt idx="280">
                  <c:v>4.7</c:v>
                </c:pt>
                <c:pt idx="281">
                  <c:v>4.5999999999999996</c:v>
                </c:pt>
                <c:pt idx="282">
                  <c:v>4.5999999999999996</c:v>
                </c:pt>
                <c:pt idx="283">
                  <c:v>4.9000000000000004</c:v>
                </c:pt>
                <c:pt idx="284">
                  <c:v>4.9000000000000004</c:v>
                </c:pt>
                <c:pt idx="285">
                  <c:v>4.8</c:v>
                </c:pt>
                <c:pt idx="286">
                  <c:v>4.8</c:v>
                </c:pt>
                <c:pt idx="287">
                  <c:v>4.5999999999999996</c:v>
                </c:pt>
                <c:pt idx="288">
                  <c:v>4.8</c:v>
                </c:pt>
                <c:pt idx="289">
                  <c:v>4.8</c:v>
                </c:pt>
                <c:pt idx="290">
                  <c:v>4.7</c:v>
                </c:pt>
                <c:pt idx="291">
                  <c:v>4.7</c:v>
                </c:pt>
                <c:pt idx="292">
                  <c:v>4.8</c:v>
                </c:pt>
                <c:pt idx="293">
                  <c:v>4.0999999999999996</c:v>
                </c:pt>
                <c:pt idx="294">
                  <c:v>4.7</c:v>
                </c:pt>
                <c:pt idx="295">
                  <c:v>4.5999999999999996</c:v>
                </c:pt>
                <c:pt idx="296">
                  <c:v>4.5999999999999996</c:v>
                </c:pt>
                <c:pt idx="297">
                  <c:v>4.5999999999999996</c:v>
                </c:pt>
                <c:pt idx="298">
                  <c:v>4.9000000000000004</c:v>
                </c:pt>
                <c:pt idx="299">
                  <c:v>4</c:v>
                </c:pt>
                <c:pt idx="300">
                  <c:v>4</c:v>
                </c:pt>
                <c:pt idx="301">
                  <c:v>4</c:v>
                </c:pt>
                <c:pt idx="302">
                  <c:v>4</c:v>
                </c:pt>
                <c:pt idx="303">
                  <c:v>4</c:v>
                </c:pt>
                <c:pt idx="304">
                  <c:v>4</c:v>
                </c:pt>
                <c:pt idx="305">
                  <c:v>4</c:v>
                </c:pt>
                <c:pt idx="306">
                  <c:v>4</c:v>
                </c:pt>
                <c:pt idx="307">
                  <c:v>4</c:v>
                </c:pt>
                <c:pt idx="308">
                  <c:v>4.5</c:v>
                </c:pt>
                <c:pt idx="309">
                  <c:v>4.5999999999999996</c:v>
                </c:pt>
                <c:pt idx="310">
                  <c:v>4.5</c:v>
                </c:pt>
                <c:pt idx="311">
                  <c:v>4.4000000000000004</c:v>
                </c:pt>
                <c:pt idx="312">
                  <c:v>4.4000000000000004</c:v>
                </c:pt>
                <c:pt idx="313">
                  <c:v>4.3</c:v>
                </c:pt>
                <c:pt idx="314">
                  <c:v>4.3</c:v>
                </c:pt>
                <c:pt idx="315">
                  <c:v>4.7</c:v>
                </c:pt>
                <c:pt idx="316">
                  <c:v>4.7</c:v>
                </c:pt>
                <c:pt idx="317">
                  <c:v>4.7</c:v>
                </c:pt>
                <c:pt idx="318">
                  <c:v>4.7</c:v>
                </c:pt>
                <c:pt idx="319">
                  <c:v>4.7</c:v>
                </c:pt>
                <c:pt idx="320">
                  <c:v>4.8</c:v>
                </c:pt>
                <c:pt idx="321">
                  <c:v>4.8</c:v>
                </c:pt>
                <c:pt idx="322">
                  <c:v>4.8</c:v>
                </c:pt>
                <c:pt idx="323">
                  <c:v>4.8</c:v>
                </c:pt>
                <c:pt idx="324">
                  <c:v>4.8</c:v>
                </c:pt>
                <c:pt idx="325">
                  <c:v>4.8</c:v>
                </c:pt>
                <c:pt idx="326">
                  <c:v>4.5999999999999996</c:v>
                </c:pt>
                <c:pt idx="327">
                  <c:v>4.5999999999999996</c:v>
                </c:pt>
                <c:pt idx="328">
                  <c:v>4.5999999999999996</c:v>
                </c:pt>
                <c:pt idx="329">
                  <c:v>4.5999999999999996</c:v>
                </c:pt>
                <c:pt idx="330">
                  <c:v>4.7</c:v>
                </c:pt>
                <c:pt idx="331">
                  <c:v>4.7</c:v>
                </c:pt>
                <c:pt idx="332">
                  <c:v>4.7</c:v>
                </c:pt>
                <c:pt idx="333">
                  <c:v>4.7</c:v>
                </c:pt>
                <c:pt idx="334">
                  <c:v>4.5999999999999996</c:v>
                </c:pt>
                <c:pt idx="335">
                  <c:v>4.7</c:v>
                </c:pt>
                <c:pt idx="336">
                  <c:v>4.7</c:v>
                </c:pt>
                <c:pt idx="337">
                  <c:v>4.7</c:v>
                </c:pt>
                <c:pt idx="338">
                  <c:v>4.8</c:v>
                </c:pt>
                <c:pt idx="339">
                  <c:v>4.2</c:v>
                </c:pt>
                <c:pt idx="340">
                  <c:v>4.8</c:v>
                </c:pt>
                <c:pt idx="341">
                  <c:v>4.7</c:v>
                </c:pt>
                <c:pt idx="342">
                  <c:v>4.5999999999999996</c:v>
                </c:pt>
                <c:pt idx="343">
                  <c:v>4.5999999999999996</c:v>
                </c:pt>
                <c:pt idx="344">
                  <c:v>4.8</c:v>
                </c:pt>
                <c:pt idx="345">
                  <c:v>4.8</c:v>
                </c:pt>
                <c:pt idx="346">
                  <c:v>4.8</c:v>
                </c:pt>
                <c:pt idx="347">
                  <c:v>4.8</c:v>
                </c:pt>
                <c:pt idx="348">
                  <c:v>3.3</c:v>
                </c:pt>
                <c:pt idx="349">
                  <c:v>4.7</c:v>
                </c:pt>
                <c:pt idx="350">
                  <c:v>4.3</c:v>
                </c:pt>
                <c:pt idx="351">
                  <c:v>4.3</c:v>
                </c:pt>
                <c:pt idx="352">
                  <c:v>4.3</c:v>
                </c:pt>
                <c:pt idx="353">
                  <c:v>4.8</c:v>
                </c:pt>
                <c:pt idx="354">
                  <c:v>4.4000000000000004</c:v>
                </c:pt>
                <c:pt idx="355">
                  <c:v>4.8</c:v>
                </c:pt>
                <c:pt idx="356">
                  <c:v>4.8</c:v>
                </c:pt>
                <c:pt idx="357">
                  <c:v>4.8</c:v>
                </c:pt>
                <c:pt idx="358">
                  <c:v>4.0999999999999996</c:v>
                </c:pt>
                <c:pt idx="359">
                  <c:v>4</c:v>
                </c:pt>
                <c:pt idx="360">
                  <c:v>4.7</c:v>
                </c:pt>
                <c:pt idx="361">
                  <c:v>4.7</c:v>
                </c:pt>
                <c:pt idx="362">
                  <c:v>4.7</c:v>
                </c:pt>
                <c:pt idx="363">
                  <c:v>4.7</c:v>
                </c:pt>
                <c:pt idx="364">
                  <c:v>4.5999999999999996</c:v>
                </c:pt>
                <c:pt idx="365">
                  <c:v>4.5999999999999996</c:v>
                </c:pt>
                <c:pt idx="366">
                  <c:v>4.5999999999999996</c:v>
                </c:pt>
                <c:pt idx="367">
                  <c:v>4.5999999999999996</c:v>
                </c:pt>
                <c:pt idx="368">
                  <c:v>4.5999999999999996</c:v>
                </c:pt>
                <c:pt idx="369">
                  <c:v>4.5999999999999996</c:v>
                </c:pt>
                <c:pt idx="370">
                  <c:v>4.7</c:v>
                </c:pt>
                <c:pt idx="371">
                  <c:v>4.7</c:v>
                </c:pt>
                <c:pt idx="372">
                  <c:v>4.7</c:v>
                </c:pt>
                <c:pt idx="373">
                  <c:v>4.7</c:v>
                </c:pt>
                <c:pt idx="374">
                  <c:v>4.7</c:v>
                </c:pt>
                <c:pt idx="375">
                  <c:v>4.7</c:v>
                </c:pt>
                <c:pt idx="376">
                  <c:v>4.8</c:v>
                </c:pt>
                <c:pt idx="377">
                  <c:v>4.0999999999999996</c:v>
                </c:pt>
                <c:pt idx="378">
                  <c:v>4.0999999999999996</c:v>
                </c:pt>
                <c:pt idx="379">
                  <c:v>4.7</c:v>
                </c:pt>
                <c:pt idx="380">
                  <c:v>4.7</c:v>
                </c:pt>
                <c:pt idx="381">
                  <c:v>4.7</c:v>
                </c:pt>
                <c:pt idx="382">
                  <c:v>4.7</c:v>
                </c:pt>
                <c:pt idx="383">
                  <c:v>4.4000000000000004</c:v>
                </c:pt>
                <c:pt idx="384">
                  <c:v>4.4000000000000004</c:v>
                </c:pt>
                <c:pt idx="385">
                  <c:v>4.8</c:v>
                </c:pt>
                <c:pt idx="386">
                  <c:v>4.8</c:v>
                </c:pt>
                <c:pt idx="387">
                  <c:v>3.9</c:v>
                </c:pt>
                <c:pt idx="388">
                  <c:v>3.9</c:v>
                </c:pt>
                <c:pt idx="389">
                  <c:v>4.4000000000000004</c:v>
                </c:pt>
                <c:pt idx="390">
                  <c:v>4.4000000000000004</c:v>
                </c:pt>
                <c:pt idx="391">
                  <c:v>4.4000000000000004</c:v>
                </c:pt>
                <c:pt idx="392">
                  <c:v>4.5</c:v>
                </c:pt>
                <c:pt idx="393">
                  <c:v>4.7</c:v>
                </c:pt>
                <c:pt idx="394">
                  <c:v>4.3</c:v>
                </c:pt>
                <c:pt idx="395">
                  <c:v>4.5999999999999996</c:v>
                </c:pt>
                <c:pt idx="396">
                  <c:v>4.8</c:v>
                </c:pt>
                <c:pt idx="397">
                  <c:v>4.8</c:v>
                </c:pt>
                <c:pt idx="398">
                  <c:v>4.8</c:v>
                </c:pt>
                <c:pt idx="399">
                  <c:v>4.8</c:v>
                </c:pt>
                <c:pt idx="400">
                  <c:v>4.8</c:v>
                </c:pt>
                <c:pt idx="401">
                  <c:v>4.8</c:v>
                </c:pt>
                <c:pt idx="402">
                  <c:v>4.7</c:v>
                </c:pt>
                <c:pt idx="403">
                  <c:v>4.7</c:v>
                </c:pt>
                <c:pt idx="404">
                  <c:v>4.7</c:v>
                </c:pt>
                <c:pt idx="405">
                  <c:v>4.8</c:v>
                </c:pt>
                <c:pt idx="406">
                  <c:v>4.8</c:v>
                </c:pt>
                <c:pt idx="407">
                  <c:v>4.7</c:v>
                </c:pt>
                <c:pt idx="408">
                  <c:v>4.7</c:v>
                </c:pt>
                <c:pt idx="409">
                  <c:v>4.7</c:v>
                </c:pt>
                <c:pt idx="410">
                  <c:v>4.3</c:v>
                </c:pt>
                <c:pt idx="411">
                  <c:v>4.3</c:v>
                </c:pt>
                <c:pt idx="412">
                  <c:v>4.7</c:v>
                </c:pt>
                <c:pt idx="413">
                  <c:v>4.8</c:v>
                </c:pt>
                <c:pt idx="414">
                  <c:v>4.8</c:v>
                </c:pt>
                <c:pt idx="415">
                  <c:v>4.9000000000000004</c:v>
                </c:pt>
                <c:pt idx="416">
                  <c:v>4.4000000000000004</c:v>
                </c:pt>
                <c:pt idx="417">
                  <c:v>4.4000000000000004</c:v>
                </c:pt>
                <c:pt idx="418">
                  <c:v>4.5</c:v>
                </c:pt>
                <c:pt idx="419">
                  <c:v>4.5</c:v>
                </c:pt>
                <c:pt idx="420">
                  <c:v>4.5</c:v>
                </c:pt>
                <c:pt idx="421">
                  <c:v>4.5</c:v>
                </c:pt>
                <c:pt idx="422">
                  <c:v>4.4000000000000004</c:v>
                </c:pt>
                <c:pt idx="423">
                  <c:v>4.8</c:v>
                </c:pt>
                <c:pt idx="424">
                  <c:v>4.2</c:v>
                </c:pt>
                <c:pt idx="425">
                  <c:v>4.8</c:v>
                </c:pt>
                <c:pt idx="426">
                  <c:v>4.9000000000000004</c:v>
                </c:pt>
                <c:pt idx="427">
                  <c:v>4.8</c:v>
                </c:pt>
                <c:pt idx="428">
                  <c:v>4.7</c:v>
                </c:pt>
                <c:pt idx="429">
                  <c:v>4.5</c:v>
                </c:pt>
                <c:pt idx="430">
                  <c:v>4.8</c:v>
                </c:pt>
                <c:pt idx="431">
                  <c:v>4.5999999999999996</c:v>
                </c:pt>
                <c:pt idx="432">
                  <c:v>4.8</c:v>
                </c:pt>
                <c:pt idx="433">
                  <c:v>4.8</c:v>
                </c:pt>
                <c:pt idx="434">
                  <c:v>4.4000000000000004</c:v>
                </c:pt>
                <c:pt idx="435">
                  <c:v>4.4000000000000004</c:v>
                </c:pt>
                <c:pt idx="436">
                  <c:v>4.4000000000000004</c:v>
                </c:pt>
                <c:pt idx="437">
                  <c:v>4.4000000000000004</c:v>
                </c:pt>
                <c:pt idx="438">
                  <c:v>4.4000000000000004</c:v>
                </c:pt>
                <c:pt idx="439">
                  <c:v>4.3</c:v>
                </c:pt>
                <c:pt idx="440">
                  <c:v>4.3</c:v>
                </c:pt>
                <c:pt idx="441">
                  <c:v>4.8</c:v>
                </c:pt>
                <c:pt idx="442">
                  <c:v>4.8</c:v>
                </c:pt>
                <c:pt idx="443">
                  <c:v>4.8</c:v>
                </c:pt>
                <c:pt idx="444">
                  <c:v>4.5</c:v>
                </c:pt>
                <c:pt idx="445">
                  <c:v>4.4000000000000004</c:v>
                </c:pt>
                <c:pt idx="446">
                  <c:v>4.8</c:v>
                </c:pt>
                <c:pt idx="447">
                  <c:v>4.8</c:v>
                </c:pt>
                <c:pt idx="448">
                  <c:v>4.5999999999999996</c:v>
                </c:pt>
                <c:pt idx="449">
                  <c:v>4.3</c:v>
                </c:pt>
                <c:pt idx="450">
                  <c:v>4.3</c:v>
                </c:pt>
                <c:pt idx="451">
                  <c:v>4.5999999999999996</c:v>
                </c:pt>
                <c:pt idx="452">
                  <c:v>4.5999999999999996</c:v>
                </c:pt>
                <c:pt idx="453">
                  <c:v>4.8</c:v>
                </c:pt>
                <c:pt idx="454">
                  <c:v>4.5999999999999996</c:v>
                </c:pt>
                <c:pt idx="455">
                  <c:v>4.5999999999999996</c:v>
                </c:pt>
                <c:pt idx="456">
                  <c:v>4.5999999999999996</c:v>
                </c:pt>
                <c:pt idx="457">
                  <c:v>4.5</c:v>
                </c:pt>
                <c:pt idx="458">
                  <c:v>4.8</c:v>
                </c:pt>
                <c:pt idx="459">
                  <c:v>4.5999999999999996</c:v>
                </c:pt>
                <c:pt idx="460">
                  <c:v>4.5999999999999996</c:v>
                </c:pt>
                <c:pt idx="461">
                  <c:v>4.5999999999999996</c:v>
                </c:pt>
                <c:pt idx="462">
                  <c:v>4.7</c:v>
                </c:pt>
                <c:pt idx="463">
                  <c:v>4.7</c:v>
                </c:pt>
                <c:pt idx="464">
                  <c:v>4.7</c:v>
                </c:pt>
                <c:pt idx="465">
                  <c:v>4.4000000000000004</c:v>
                </c:pt>
                <c:pt idx="466">
                  <c:v>4.4000000000000004</c:v>
                </c:pt>
                <c:pt idx="467">
                  <c:v>4.7</c:v>
                </c:pt>
                <c:pt idx="468">
                  <c:v>4.7</c:v>
                </c:pt>
                <c:pt idx="469">
                  <c:v>4.8</c:v>
                </c:pt>
                <c:pt idx="470">
                  <c:v>4.7</c:v>
                </c:pt>
                <c:pt idx="471">
                  <c:v>4.9000000000000004</c:v>
                </c:pt>
                <c:pt idx="472">
                  <c:v>4.9000000000000004</c:v>
                </c:pt>
                <c:pt idx="473">
                  <c:v>4.9000000000000004</c:v>
                </c:pt>
                <c:pt idx="474">
                  <c:v>4.9000000000000004</c:v>
                </c:pt>
                <c:pt idx="475">
                  <c:v>4.9000000000000004</c:v>
                </c:pt>
                <c:pt idx="476">
                  <c:v>4.9000000000000004</c:v>
                </c:pt>
                <c:pt idx="477">
                  <c:v>4.9000000000000004</c:v>
                </c:pt>
                <c:pt idx="478">
                  <c:v>4.5999999999999996</c:v>
                </c:pt>
                <c:pt idx="479">
                  <c:v>4.5999999999999996</c:v>
                </c:pt>
                <c:pt idx="480">
                  <c:v>4.5999999999999996</c:v>
                </c:pt>
                <c:pt idx="481">
                  <c:v>4.9000000000000004</c:v>
                </c:pt>
                <c:pt idx="482">
                  <c:v>4.9000000000000004</c:v>
                </c:pt>
                <c:pt idx="483">
                  <c:v>4.9000000000000004</c:v>
                </c:pt>
                <c:pt idx="484">
                  <c:v>4.9000000000000004</c:v>
                </c:pt>
                <c:pt idx="485">
                  <c:v>4.8</c:v>
                </c:pt>
                <c:pt idx="486">
                  <c:v>4.8</c:v>
                </c:pt>
                <c:pt idx="487">
                  <c:v>4.7</c:v>
                </c:pt>
                <c:pt idx="488">
                  <c:v>4.7</c:v>
                </c:pt>
                <c:pt idx="489">
                  <c:v>4.5999999999999996</c:v>
                </c:pt>
                <c:pt idx="490">
                  <c:v>4.5999999999999996</c:v>
                </c:pt>
                <c:pt idx="491">
                  <c:v>4.5</c:v>
                </c:pt>
                <c:pt idx="492">
                  <c:v>4.5</c:v>
                </c:pt>
                <c:pt idx="493">
                  <c:v>4.3</c:v>
                </c:pt>
                <c:pt idx="494">
                  <c:v>4.3</c:v>
                </c:pt>
                <c:pt idx="495">
                  <c:v>4.5999999999999996</c:v>
                </c:pt>
                <c:pt idx="496">
                  <c:v>4.5999999999999996</c:v>
                </c:pt>
                <c:pt idx="497">
                  <c:v>4.5999999999999996</c:v>
                </c:pt>
                <c:pt idx="498">
                  <c:v>4.5999999999999996</c:v>
                </c:pt>
                <c:pt idx="499">
                  <c:v>4.3</c:v>
                </c:pt>
                <c:pt idx="500">
                  <c:v>4.8</c:v>
                </c:pt>
                <c:pt idx="501">
                  <c:v>4.8</c:v>
                </c:pt>
                <c:pt idx="502">
                  <c:v>4.8</c:v>
                </c:pt>
                <c:pt idx="503">
                  <c:v>4.8</c:v>
                </c:pt>
                <c:pt idx="504">
                  <c:v>4.8</c:v>
                </c:pt>
                <c:pt idx="505">
                  <c:v>4.5999999999999996</c:v>
                </c:pt>
                <c:pt idx="506">
                  <c:v>4.8</c:v>
                </c:pt>
                <c:pt idx="507">
                  <c:v>4.5</c:v>
                </c:pt>
                <c:pt idx="508">
                  <c:v>4.7</c:v>
                </c:pt>
                <c:pt idx="509">
                  <c:v>4.5</c:v>
                </c:pt>
                <c:pt idx="510">
                  <c:v>4.8</c:v>
                </c:pt>
                <c:pt idx="511">
                  <c:v>4.8</c:v>
                </c:pt>
                <c:pt idx="512">
                  <c:v>4.8</c:v>
                </c:pt>
                <c:pt idx="513">
                  <c:v>4.8</c:v>
                </c:pt>
                <c:pt idx="514">
                  <c:v>4.8</c:v>
                </c:pt>
                <c:pt idx="515">
                  <c:v>4.3</c:v>
                </c:pt>
                <c:pt idx="516">
                  <c:v>4.9000000000000004</c:v>
                </c:pt>
                <c:pt idx="517">
                  <c:v>4.8</c:v>
                </c:pt>
                <c:pt idx="518">
                  <c:v>4.7</c:v>
                </c:pt>
                <c:pt idx="519">
                  <c:v>4.8</c:v>
                </c:pt>
                <c:pt idx="520">
                  <c:v>4.5</c:v>
                </c:pt>
                <c:pt idx="521">
                  <c:v>4.5999999999999996</c:v>
                </c:pt>
                <c:pt idx="522">
                  <c:v>4.7</c:v>
                </c:pt>
                <c:pt idx="523">
                  <c:v>4.7</c:v>
                </c:pt>
                <c:pt idx="524">
                  <c:v>4.8</c:v>
                </c:pt>
                <c:pt idx="525">
                  <c:v>4.4000000000000004</c:v>
                </c:pt>
                <c:pt idx="526">
                  <c:v>4.4000000000000004</c:v>
                </c:pt>
                <c:pt idx="527">
                  <c:v>4.4000000000000004</c:v>
                </c:pt>
                <c:pt idx="528">
                  <c:v>4.8</c:v>
                </c:pt>
                <c:pt idx="529">
                  <c:v>4.8</c:v>
                </c:pt>
                <c:pt idx="530">
                  <c:v>4.8</c:v>
                </c:pt>
                <c:pt idx="531">
                  <c:v>4.5999999999999996</c:v>
                </c:pt>
                <c:pt idx="532">
                  <c:v>4.4000000000000004</c:v>
                </c:pt>
                <c:pt idx="533">
                  <c:v>4.5</c:v>
                </c:pt>
                <c:pt idx="534">
                  <c:v>4.2</c:v>
                </c:pt>
                <c:pt idx="535">
                  <c:v>4.8</c:v>
                </c:pt>
                <c:pt idx="536">
                  <c:v>4.8</c:v>
                </c:pt>
                <c:pt idx="537">
                  <c:v>4.8</c:v>
                </c:pt>
                <c:pt idx="538">
                  <c:v>4.8</c:v>
                </c:pt>
                <c:pt idx="539">
                  <c:v>4.8</c:v>
                </c:pt>
                <c:pt idx="540">
                  <c:v>4.9000000000000004</c:v>
                </c:pt>
                <c:pt idx="541">
                  <c:v>4.7</c:v>
                </c:pt>
                <c:pt idx="542">
                  <c:v>4.7</c:v>
                </c:pt>
                <c:pt idx="543">
                  <c:v>4.7</c:v>
                </c:pt>
                <c:pt idx="544">
                  <c:v>4.7</c:v>
                </c:pt>
              </c:numCache>
            </c:numRef>
          </c:yVal>
          <c:smooth val="0"/>
          <c:extLst>
            <c:ext xmlns:c16="http://schemas.microsoft.com/office/drawing/2014/chart" uri="{C3380CC4-5D6E-409C-BE32-E72D297353CC}">
              <c16:uniqueId val="{00000001-3161-4D2D-9577-E95D10516225}"/>
            </c:ext>
          </c:extLst>
        </c:ser>
        <c:dLbls>
          <c:showLegendKey val="0"/>
          <c:showVal val="0"/>
          <c:showCatName val="0"/>
          <c:showSerName val="0"/>
          <c:showPercent val="0"/>
          <c:showBubbleSize val="0"/>
        </c:dLbls>
        <c:axId val="1321010687"/>
        <c:axId val="1321011935"/>
      </c:scatterChart>
      <c:valAx>
        <c:axId val="1321010687"/>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011935"/>
        <c:crosses val="autoZero"/>
        <c:crossBetween val="midCat"/>
      </c:valAx>
      <c:valAx>
        <c:axId val="1321011935"/>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2101068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 Sales &amp; Ratings Analysis.xlsm]Rating &amp; Popularity Analysis!books with most reviews</c:name>
    <c:fmtId val="7"/>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200" b="1">
                <a:solidFill>
                  <a:schemeClr val="accent1">
                    <a:lumMod val="50000"/>
                  </a:schemeClr>
                </a:solidFill>
              </a:rPr>
              <a:t>Number</a:t>
            </a:r>
            <a:r>
              <a:rPr lang="en-US" sz="1200" b="1" baseline="0">
                <a:solidFill>
                  <a:schemeClr val="accent1">
                    <a:lumMod val="50000"/>
                  </a:schemeClr>
                </a:solidFill>
              </a:rPr>
              <a:t> of reviews per book</a:t>
            </a:r>
            <a:endParaRPr lang="en-US" sz="1200" b="1">
              <a:solidFill>
                <a:schemeClr val="accent1">
                  <a:lumMod val="50000"/>
                </a:schemeClr>
              </a:solidFill>
            </a:endParaRPr>
          </a:p>
        </c:rich>
      </c:tx>
      <c:layout>
        <c:manualLayout>
          <c:xMode val="edge"/>
          <c:yMode val="edge"/>
          <c:x val="0.20642236435988023"/>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997277860161379"/>
          <c:y val="0.19797538562278044"/>
          <c:w val="0.46042509938247111"/>
          <c:h val="0.70228004365900409"/>
        </c:manualLayout>
      </c:layout>
      <c:barChart>
        <c:barDir val="bar"/>
        <c:grouping val="clustered"/>
        <c:varyColors val="0"/>
        <c:ser>
          <c:idx val="0"/>
          <c:order val="0"/>
          <c:tx>
            <c:strRef>
              <c:f>'Rating &amp; Popularity Analysis'!$I$35</c:f>
              <c:strCache>
                <c:ptCount val="1"/>
                <c:pt idx="0">
                  <c:v>Total</c:v>
                </c:pt>
              </c:strCache>
            </c:strRef>
          </c:tx>
          <c:spPr>
            <a:solidFill>
              <a:schemeClr val="accent1"/>
            </a:solidFill>
            <a:ln>
              <a:noFill/>
            </a:ln>
            <a:effectLst/>
          </c:spPr>
          <c:invertIfNegative val="0"/>
          <c:cat>
            <c:strRef>
              <c:f>'Rating &amp; Popularity Analysis'!$H$36:$H$46</c:f>
              <c:strCache>
                <c:ptCount val="10"/>
                <c:pt idx="0">
                  <c:v>Gone Girl</c:v>
                </c:pt>
                <c:pt idx="1">
                  <c:v>The Girl on the Train</c:v>
                </c:pt>
                <c:pt idx="2">
                  <c:v>Fifty Shades of Grey: Book One of the Fifty Shades Trilogy (Fifty Shades of Grey Series)</c:v>
                </c:pt>
                <c:pt idx="3">
                  <c:v>The Goldfinch: A Novel (Pulitzer Prize for Fiction)</c:v>
                </c:pt>
                <c:pt idx="4">
                  <c:v>StrengthsFinder 2.0</c:v>
                </c:pt>
                <c:pt idx="5">
                  <c:v>Harry Potter and the Cursed Child, Parts 1 &amp; 2, Special Rehearsal Edition Script</c:v>
                </c:pt>
                <c:pt idx="6">
                  <c:v>Go Set a Watchman: A Novel</c:v>
                </c:pt>
                <c:pt idx="7">
                  <c:v>The Casual Vacancy</c:v>
                </c:pt>
                <c:pt idx="8">
                  <c:v>Allegiant</c:v>
                </c:pt>
                <c:pt idx="9">
                  <c:v>The Elegance of the Hedgehog</c:v>
                </c:pt>
              </c:strCache>
            </c:strRef>
          </c:cat>
          <c:val>
            <c:numRef>
              <c:f>'Rating &amp; Popularity Analysis'!$I$36:$I$46</c:f>
              <c:numCache>
                <c:formatCode>General</c:formatCode>
                <c:ptCount val="10"/>
                <c:pt idx="0">
                  <c:v>171813</c:v>
                </c:pt>
                <c:pt idx="1">
                  <c:v>158892</c:v>
                </c:pt>
                <c:pt idx="2">
                  <c:v>94530</c:v>
                </c:pt>
                <c:pt idx="3">
                  <c:v>67688</c:v>
                </c:pt>
                <c:pt idx="4">
                  <c:v>45621</c:v>
                </c:pt>
                <c:pt idx="5">
                  <c:v>23973</c:v>
                </c:pt>
                <c:pt idx="6">
                  <c:v>14982</c:v>
                </c:pt>
                <c:pt idx="7">
                  <c:v>9372</c:v>
                </c:pt>
                <c:pt idx="8">
                  <c:v>6310</c:v>
                </c:pt>
                <c:pt idx="9">
                  <c:v>1859</c:v>
                </c:pt>
              </c:numCache>
            </c:numRef>
          </c:val>
          <c:extLst>
            <c:ext xmlns:c16="http://schemas.microsoft.com/office/drawing/2014/chart" uri="{C3380CC4-5D6E-409C-BE32-E72D297353CC}">
              <c16:uniqueId val="{00000000-E5C6-4610-BE63-66502E145E7F}"/>
            </c:ext>
          </c:extLst>
        </c:ser>
        <c:dLbls>
          <c:showLegendKey val="0"/>
          <c:showVal val="0"/>
          <c:showCatName val="0"/>
          <c:showSerName val="0"/>
          <c:showPercent val="0"/>
          <c:showBubbleSize val="0"/>
        </c:dLbls>
        <c:gapWidth val="182"/>
        <c:axId val="1302646463"/>
        <c:axId val="1273015343"/>
      </c:barChart>
      <c:catAx>
        <c:axId val="1302646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273015343"/>
        <c:crosses val="autoZero"/>
        <c:auto val="1"/>
        <c:lblAlgn val="ctr"/>
        <c:lblOffset val="100"/>
        <c:noMultiLvlLbl val="0"/>
      </c:catAx>
      <c:valAx>
        <c:axId val="12730153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02646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 Sales &amp; Ratings Analysis.xlsm]FOR VISUALIZATION!PivotTable36</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200" b="1" i="0" u="none" strike="noStrike" baseline="0">
                <a:solidFill>
                  <a:schemeClr val="accent1">
                    <a:lumMod val="50000"/>
                  </a:schemeClr>
                </a:solidFill>
                <a:effectLst/>
              </a:rPr>
              <a:t>trend of average user ratings over different years</a:t>
            </a:r>
            <a:endParaRPr lang="en-US" sz="1200" b="1">
              <a:solidFill>
                <a:schemeClr val="accent1">
                  <a:lumMod val="50000"/>
                </a:schemeClr>
              </a:solidFill>
            </a:endParaRPr>
          </a:p>
        </c:rich>
      </c:tx>
      <c:layout>
        <c:manualLayout>
          <c:xMode val="edge"/>
          <c:yMode val="edge"/>
          <c:x val="0.1217784038975958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dLbls>
          <c:showLegendKey val="0"/>
          <c:showVal val="0"/>
          <c:showCatName val="0"/>
          <c:showSerName val="0"/>
          <c:showPercent val="0"/>
          <c:showBubbleSize val="0"/>
        </c:dLbls>
        <c:marker val="1"/>
        <c:smooth val="0"/>
        <c:axId val="33216415"/>
        <c:axId val="33207263"/>
      </c:lineChart>
      <c:catAx>
        <c:axId val="33216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3207263"/>
        <c:crosses val="autoZero"/>
        <c:auto val="1"/>
        <c:lblAlgn val="ctr"/>
        <c:lblOffset val="100"/>
        <c:noMultiLvlLbl val="0"/>
      </c:catAx>
      <c:valAx>
        <c:axId val="332072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216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 Sales &amp; Ratings Analysis.xlsm]FOR VISUALIZATION!PivotTable1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200" b="1" i="0" u="none" strike="noStrike" baseline="0">
                <a:solidFill>
                  <a:schemeClr val="accent1">
                    <a:lumMod val="50000"/>
                  </a:schemeClr>
                </a:solidFill>
              </a:rPr>
              <a:t>Average User Ratings Over the Years</a:t>
            </a:r>
            <a:endParaRPr lang="en-US" sz="1200" b="1">
              <a:solidFill>
                <a:schemeClr val="accent1">
                  <a:lumMod val="5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'FOR VISUALIZATION'!$M$20</c:f>
              <c:strCache>
                <c:ptCount val="1"/>
                <c:pt idx="0">
                  <c:v>Total</c:v>
                </c:pt>
              </c:strCache>
            </c:strRef>
          </c:tx>
          <c:spPr>
            <a:ln w="28575" cap="rnd">
              <a:solidFill>
                <a:schemeClr val="accent1"/>
              </a:solidFill>
              <a:round/>
            </a:ln>
            <a:effectLst/>
          </c:spPr>
          <c:marker>
            <c:symbol val="none"/>
          </c:marker>
          <c:cat>
            <c:strRef>
              <c:f>'FOR VISUALIZATION'!$L$21:$L$32</c:f>
              <c:strCache>
                <c:ptCount val="11"/>
                <c:pt idx="0">
                  <c:v>2009</c:v>
                </c:pt>
                <c:pt idx="1">
                  <c:v>2010</c:v>
                </c:pt>
                <c:pt idx="2">
                  <c:v>2011</c:v>
                </c:pt>
                <c:pt idx="3">
                  <c:v>2012</c:v>
                </c:pt>
                <c:pt idx="4">
                  <c:v>2013</c:v>
                </c:pt>
                <c:pt idx="5">
                  <c:v>2014</c:v>
                </c:pt>
                <c:pt idx="6">
                  <c:v>2015</c:v>
                </c:pt>
                <c:pt idx="7">
                  <c:v>2016</c:v>
                </c:pt>
                <c:pt idx="8">
                  <c:v>2017</c:v>
                </c:pt>
                <c:pt idx="9">
                  <c:v>2018</c:v>
                </c:pt>
                <c:pt idx="10">
                  <c:v>2019</c:v>
                </c:pt>
              </c:strCache>
            </c:strRef>
          </c:cat>
          <c:val>
            <c:numRef>
              <c:f>'FOR VISUALIZATION'!$M$21:$M$32</c:f>
              <c:numCache>
                <c:formatCode>General</c:formatCode>
                <c:ptCount val="11"/>
                <c:pt idx="0">
                  <c:v>4.5839999999999996</c:v>
                </c:pt>
                <c:pt idx="1">
                  <c:v>4.5579999999999998</c:v>
                </c:pt>
                <c:pt idx="2">
                  <c:v>4.5580000000000007</c:v>
                </c:pt>
                <c:pt idx="3">
                  <c:v>4.532</c:v>
                </c:pt>
                <c:pt idx="4">
                  <c:v>4.5540000000000003</c:v>
                </c:pt>
                <c:pt idx="5">
                  <c:v>4.6220000000000008</c:v>
                </c:pt>
                <c:pt idx="6">
                  <c:v>4.6479999999999997</c:v>
                </c:pt>
                <c:pt idx="7">
                  <c:v>4.6780000000000008</c:v>
                </c:pt>
                <c:pt idx="8">
                  <c:v>4.66</c:v>
                </c:pt>
                <c:pt idx="9">
                  <c:v>4.6680000000000028</c:v>
                </c:pt>
                <c:pt idx="10">
                  <c:v>4.740000000000002</c:v>
                </c:pt>
              </c:numCache>
            </c:numRef>
          </c:val>
          <c:smooth val="0"/>
          <c:extLst>
            <c:ext xmlns:c16="http://schemas.microsoft.com/office/drawing/2014/chart" uri="{C3380CC4-5D6E-409C-BE32-E72D297353CC}">
              <c16:uniqueId val="{00000000-7494-4B07-8CF5-4211801869C7}"/>
            </c:ext>
          </c:extLst>
        </c:ser>
        <c:dLbls>
          <c:showLegendKey val="0"/>
          <c:showVal val="0"/>
          <c:showCatName val="0"/>
          <c:showSerName val="0"/>
          <c:showPercent val="0"/>
          <c:showBubbleSize val="0"/>
        </c:dLbls>
        <c:smooth val="0"/>
        <c:axId val="1711990127"/>
        <c:axId val="1711990543"/>
      </c:lineChart>
      <c:catAx>
        <c:axId val="1711990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1990543"/>
        <c:crosses val="autoZero"/>
        <c:auto val="1"/>
        <c:lblAlgn val="ctr"/>
        <c:lblOffset val="100"/>
        <c:noMultiLvlLbl val="0"/>
      </c:catAx>
      <c:valAx>
        <c:axId val="17119905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1990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xdr:col>
      <xdr:colOff>1600200</xdr:colOff>
      <xdr:row>22</xdr:row>
      <xdr:rowOff>176212</xdr:rowOff>
    </xdr:from>
    <xdr:to>
      <xdr:col>2</xdr:col>
      <xdr:colOff>904875</xdr:colOff>
      <xdr:row>37</xdr:row>
      <xdr:rowOff>61912</xdr:rowOff>
    </xdr:to>
    <xdr:graphicFrame macro="">
      <xdr:nvGraphicFramePr>
        <xdr:cNvPr id="7" name="Chart 6">
          <a:extLst>
            <a:ext uri="{FF2B5EF4-FFF2-40B4-BE49-F238E27FC236}">
              <a16:creationId xmlns:a16="http://schemas.microsoft.com/office/drawing/2014/main" id="{0B50125F-5394-4DC7-BDE3-52BA7F8634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484186</xdr:colOff>
      <xdr:row>3</xdr:row>
      <xdr:rowOff>180976</xdr:rowOff>
    </xdr:from>
    <xdr:to>
      <xdr:col>18</xdr:col>
      <xdr:colOff>361949</xdr:colOff>
      <xdr:row>33</xdr:row>
      <xdr:rowOff>85726</xdr:rowOff>
    </xdr:to>
    <xdr:sp macro="" textlink="">
      <xdr:nvSpPr>
        <xdr:cNvPr id="2" name="Rectangle 1">
          <a:extLst>
            <a:ext uri="{FF2B5EF4-FFF2-40B4-BE49-F238E27FC236}">
              <a16:creationId xmlns:a16="http://schemas.microsoft.com/office/drawing/2014/main" id="{AAF5FD26-C334-438B-95A3-564E7768A67C}"/>
            </a:ext>
          </a:extLst>
        </xdr:cNvPr>
        <xdr:cNvSpPr/>
      </xdr:nvSpPr>
      <xdr:spPr>
        <a:xfrm>
          <a:off x="2317749" y="728664"/>
          <a:ext cx="9045575" cy="5381625"/>
        </a:xfrm>
        <a:prstGeom prst="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14</xdr:col>
      <xdr:colOff>142875</xdr:colOff>
      <xdr:row>4</xdr:row>
      <xdr:rowOff>0</xdr:rowOff>
    </xdr:from>
    <xdr:to>
      <xdr:col>18</xdr:col>
      <xdr:colOff>323850</xdr:colOff>
      <xdr:row>8</xdr:row>
      <xdr:rowOff>28575</xdr:rowOff>
    </xdr:to>
    <xdr:sp macro="" textlink="'Rating &amp; Popularity Analysis'!B18">
      <xdr:nvSpPr>
        <xdr:cNvPr id="3" name="Rectangle 2">
          <a:extLst>
            <a:ext uri="{FF2B5EF4-FFF2-40B4-BE49-F238E27FC236}">
              <a16:creationId xmlns:a16="http://schemas.microsoft.com/office/drawing/2014/main" id="{A4D7C275-D55E-4EE4-AEE9-867C15049C99}"/>
            </a:ext>
          </a:extLst>
        </xdr:cNvPr>
        <xdr:cNvSpPr/>
      </xdr:nvSpPr>
      <xdr:spPr>
        <a:xfrm>
          <a:off x="8677275" y="762000"/>
          <a:ext cx="2619375" cy="790575"/>
        </a:xfrm>
        <a:prstGeom prst="rect">
          <a:avLst/>
        </a:prstGeom>
        <a:solidFill>
          <a:schemeClr val="bg1"/>
        </a:solidFill>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i="0" u="none" strike="noStrike">
              <a:solidFill>
                <a:srgbClr val="000000"/>
              </a:solidFill>
              <a:latin typeface="Calibri"/>
              <a:cs typeface="Calibri"/>
            </a:rPr>
            <a:t>                  </a:t>
          </a:r>
        </a:p>
        <a:p>
          <a:pPr algn="ctr"/>
          <a:r>
            <a:rPr lang="en-US" sz="1200" b="1" i="0" u="none" strike="noStrike">
              <a:solidFill>
                <a:srgbClr val="000000"/>
              </a:solidFill>
              <a:latin typeface="Calibri"/>
              <a:cs typeface="Calibri"/>
            </a:rPr>
            <a:t>TOTAL</a:t>
          </a:r>
          <a:r>
            <a:rPr lang="en-US" sz="1200" b="1" i="0" u="none" strike="noStrike" baseline="0">
              <a:solidFill>
                <a:srgbClr val="000000"/>
              </a:solidFill>
              <a:latin typeface="Calibri"/>
              <a:cs typeface="Calibri"/>
            </a:rPr>
            <a:t> REVIEWS</a:t>
          </a:r>
          <a:endParaRPr lang="en-US" sz="1200" b="1" i="0" u="none" strike="noStrike">
            <a:solidFill>
              <a:srgbClr val="000000"/>
            </a:solidFill>
            <a:latin typeface="Calibri"/>
            <a:cs typeface="Calibri"/>
          </a:endParaRPr>
        </a:p>
        <a:p>
          <a:pPr algn="ctr"/>
          <a:r>
            <a:rPr lang="en-US" sz="1200" b="1" i="0" u="none" strike="noStrike" baseline="0">
              <a:solidFill>
                <a:srgbClr val="000000"/>
              </a:solidFill>
              <a:latin typeface="Calibri"/>
              <a:cs typeface="Calibri"/>
            </a:rPr>
            <a:t>   </a:t>
          </a:r>
          <a:fld id="{5C2C90B1-5065-41CC-A4BF-000004F0469A}" type="TxLink">
            <a:rPr lang="en-US" sz="1200" b="1" i="0" u="none" strike="noStrike">
              <a:solidFill>
                <a:srgbClr val="000000"/>
              </a:solidFill>
              <a:latin typeface="Calibri"/>
              <a:cs typeface="Calibri"/>
            </a:rPr>
            <a:pPr algn="ctr"/>
            <a:t>6574305</a:t>
          </a:fld>
          <a:endParaRPr lang="en-CA" sz="1200" b="1"/>
        </a:p>
      </xdr:txBody>
    </xdr:sp>
    <xdr:clientData/>
  </xdr:twoCellAnchor>
  <xdr:twoCellAnchor>
    <xdr:from>
      <xdr:col>9</xdr:col>
      <xdr:colOff>533400</xdr:colOff>
      <xdr:row>4</xdr:row>
      <xdr:rowOff>9525</xdr:rowOff>
    </xdr:from>
    <xdr:to>
      <xdr:col>14</xdr:col>
      <xdr:colOff>104775</xdr:colOff>
      <xdr:row>8</xdr:row>
      <xdr:rowOff>9525</xdr:rowOff>
    </xdr:to>
    <xdr:sp macro="" textlink="'Rating &amp; Popularity Analysis'!I6">
      <xdr:nvSpPr>
        <xdr:cNvPr id="4" name="Rectangle 3">
          <a:extLst>
            <a:ext uri="{FF2B5EF4-FFF2-40B4-BE49-F238E27FC236}">
              <a16:creationId xmlns:a16="http://schemas.microsoft.com/office/drawing/2014/main" id="{5B93C6F9-FEE3-4160-9856-1426126CDCE5}"/>
            </a:ext>
          </a:extLst>
        </xdr:cNvPr>
        <xdr:cNvSpPr/>
      </xdr:nvSpPr>
      <xdr:spPr>
        <a:xfrm>
          <a:off x="6019800" y="771525"/>
          <a:ext cx="2619375" cy="762000"/>
        </a:xfrm>
        <a:prstGeom prst="rect">
          <a:avLst/>
        </a:prstGeom>
        <a:solidFill>
          <a:schemeClr val="bg1"/>
        </a:solidFill>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0" u="none" strike="noStrike">
              <a:solidFill>
                <a:srgbClr val="000000"/>
              </a:solidFill>
              <a:latin typeface="Calibri"/>
              <a:cs typeface="Calibri"/>
            </a:rPr>
            <a:t>   AVERAGE</a:t>
          </a:r>
          <a:r>
            <a:rPr lang="en-US" sz="1200" b="1" i="0" u="none" strike="noStrike" baseline="0">
              <a:solidFill>
                <a:srgbClr val="000000"/>
              </a:solidFill>
              <a:latin typeface="Calibri"/>
              <a:cs typeface="Calibri"/>
            </a:rPr>
            <a:t> OF USER_RATING</a:t>
          </a:r>
          <a:endParaRPr lang="en-US" sz="1200" b="1" i="0" u="none" strike="noStrike">
            <a:solidFill>
              <a:srgbClr val="000000"/>
            </a:solidFill>
            <a:latin typeface="Calibri"/>
            <a:cs typeface="Calibri"/>
          </a:endParaRPr>
        </a:p>
        <a:p>
          <a:pPr algn="l"/>
          <a:r>
            <a:rPr lang="en-US" sz="1200" b="1" i="0" u="none" strike="noStrike">
              <a:solidFill>
                <a:srgbClr val="000000"/>
              </a:solidFill>
              <a:latin typeface="Calibri"/>
              <a:cs typeface="Calibri"/>
            </a:rPr>
            <a:t>                       </a:t>
          </a:r>
          <a:fld id="{7B5C1497-4C35-4EC5-B558-D2C4FF17F949}" type="TxLink">
            <a:rPr lang="en-US" sz="1200" b="1" i="0" u="none" strike="noStrike">
              <a:solidFill>
                <a:srgbClr val="000000"/>
              </a:solidFill>
              <a:latin typeface="Calibri"/>
              <a:cs typeface="Calibri"/>
            </a:rPr>
            <a:pPr algn="l"/>
            <a:t>4.618363636</a:t>
          </a:fld>
          <a:endParaRPr lang="en-CA" sz="1200" b="1"/>
        </a:p>
      </xdr:txBody>
    </xdr:sp>
    <xdr:clientData/>
  </xdr:twoCellAnchor>
  <xdr:twoCellAnchor>
    <xdr:from>
      <xdr:col>12</xdr:col>
      <xdr:colOff>590550</xdr:colOff>
      <xdr:row>8</xdr:row>
      <xdr:rowOff>104775</xdr:rowOff>
    </xdr:from>
    <xdr:to>
      <xdr:col>18</xdr:col>
      <xdr:colOff>342900</xdr:colOff>
      <xdr:row>20</xdr:row>
      <xdr:rowOff>114300</xdr:rowOff>
    </xdr:to>
    <xdr:sp macro="" textlink="">
      <xdr:nvSpPr>
        <xdr:cNvPr id="11" name="Rectangle 10">
          <a:extLst>
            <a:ext uri="{FF2B5EF4-FFF2-40B4-BE49-F238E27FC236}">
              <a16:creationId xmlns:a16="http://schemas.microsoft.com/office/drawing/2014/main" id="{75CFF25D-5842-4B37-A274-32DBACB5261B}"/>
            </a:ext>
          </a:extLst>
        </xdr:cNvPr>
        <xdr:cNvSpPr/>
      </xdr:nvSpPr>
      <xdr:spPr>
        <a:xfrm>
          <a:off x="7905750" y="1628775"/>
          <a:ext cx="3409950" cy="2295525"/>
        </a:xfrm>
        <a:prstGeom prst="rect">
          <a:avLst/>
        </a:prstGeom>
        <a:solidFill>
          <a:schemeClr val="bg1"/>
        </a:solidFill>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chemeClr val="accent3">
                <a:lumMod val="20000"/>
                <a:lumOff val="80000"/>
              </a:schemeClr>
            </a:solidFill>
          </a:endParaRPr>
        </a:p>
      </xdr:txBody>
    </xdr:sp>
    <xdr:clientData/>
  </xdr:twoCellAnchor>
  <xdr:twoCellAnchor>
    <xdr:from>
      <xdr:col>13</xdr:col>
      <xdr:colOff>238125</xdr:colOff>
      <xdr:row>9</xdr:row>
      <xdr:rowOff>19050</xdr:rowOff>
    </xdr:from>
    <xdr:to>
      <xdr:col>18</xdr:col>
      <xdr:colOff>57151</xdr:colOff>
      <xdr:row>20</xdr:row>
      <xdr:rowOff>47626</xdr:rowOff>
    </xdr:to>
    <xdr:graphicFrame macro="">
      <xdr:nvGraphicFramePr>
        <xdr:cNvPr id="6" name="Chart 5">
          <a:extLst>
            <a:ext uri="{FF2B5EF4-FFF2-40B4-BE49-F238E27FC236}">
              <a16:creationId xmlns:a16="http://schemas.microsoft.com/office/drawing/2014/main" id="{C4C34670-3C9A-4A33-8C54-12B7C4911C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190500</xdr:colOff>
      <xdr:row>8</xdr:row>
      <xdr:rowOff>104775</xdr:rowOff>
    </xdr:from>
    <xdr:to>
      <xdr:col>12</xdr:col>
      <xdr:colOff>552450</xdr:colOff>
      <xdr:row>20</xdr:row>
      <xdr:rowOff>114300</xdr:rowOff>
    </xdr:to>
    <xdr:sp macro="" textlink="">
      <xdr:nvSpPr>
        <xdr:cNvPr id="12" name="Rectangle 11">
          <a:extLst>
            <a:ext uri="{FF2B5EF4-FFF2-40B4-BE49-F238E27FC236}">
              <a16:creationId xmlns:a16="http://schemas.microsoft.com/office/drawing/2014/main" id="{72AD56A9-E566-44D2-A15B-72C539794D37}"/>
            </a:ext>
          </a:extLst>
        </xdr:cNvPr>
        <xdr:cNvSpPr/>
      </xdr:nvSpPr>
      <xdr:spPr>
        <a:xfrm>
          <a:off x="4437944" y="1572331"/>
          <a:ext cx="3395839" cy="2210858"/>
        </a:xfrm>
        <a:prstGeom prst="rect">
          <a:avLst/>
        </a:prstGeom>
        <a:solidFill>
          <a:schemeClr val="bg1"/>
        </a:solidFill>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chemeClr val="bg1">
                <a:lumMod val="95000"/>
              </a:schemeClr>
            </a:solidFill>
          </a:endParaRPr>
        </a:p>
      </xdr:txBody>
    </xdr:sp>
    <xdr:clientData/>
  </xdr:twoCellAnchor>
  <xdr:twoCellAnchor>
    <xdr:from>
      <xdr:col>7</xdr:col>
      <xdr:colOff>161924</xdr:colOff>
      <xdr:row>9</xdr:row>
      <xdr:rowOff>95250</xdr:rowOff>
    </xdr:from>
    <xdr:to>
      <xdr:col>12</xdr:col>
      <xdr:colOff>533399</xdr:colOff>
      <xdr:row>21</xdr:row>
      <xdr:rowOff>104775</xdr:rowOff>
    </xdr:to>
    <xdr:graphicFrame macro="">
      <xdr:nvGraphicFramePr>
        <xdr:cNvPr id="8" name="Chart 7">
          <a:extLst>
            <a:ext uri="{FF2B5EF4-FFF2-40B4-BE49-F238E27FC236}">
              <a16:creationId xmlns:a16="http://schemas.microsoft.com/office/drawing/2014/main" id="{22A936E6-6013-4B39-B314-F7F2095C8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180975</xdr:colOff>
      <xdr:row>21</xdr:row>
      <xdr:rowOff>28575</xdr:rowOff>
    </xdr:from>
    <xdr:to>
      <xdr:col>12</xdr:col>
      <xdr:colOff>542925</xdr:colOff>
      <xdr:row>33</xdr:row>
      <xdr:rowOff>38100</xdr:rowOff>
    </xdr:to>
    <xdr:sp macro="" textlink="">
      <xdr:nvSpPr>
        <xdr:cNvPr id="13" name="Rectangle 12">
          <a:extLst>
            <a:ext uri="{FF2B5EF4-FFF2-40B4-BE49-F238E27FC236}">
              <a16:creationId xmlns:a16="http://schemas.microsoft.com/office/drawing/2014/main" id="{C3245592-71A5-4FC7-9A24-41AB0AE52778}"/>
            </a:ext>
          </a:extLst>
        </xdr:cNvPr>
        <xdr:cNvSpPr/>
      </xdr:nvSpPr>
      <xdr:spPr>
        <a:xfrm>
          <a:off x="4448175" y="4029075"/>
          <a:ext cx="3409950" cy="2295525"/>
        </a:xfrm>
        <a:prstGeom prst="rect">
          <a:avLst/>
        </a:prstGeom>
        <a:solidFill>
          <a:schemeClr val="bg1"/>
        </a:solidFill>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chemeClr val="accent3">
                <a:lumMod val="20000"/>
                <a:lumOff val="80000"/>
              </a:schemeClr>
            </a:solidFill>
          </a:endParaRPr>
        </a:p>
      </xdr:txBody>
    </xdr:sp>
    <xdr:clientData/>
  </xdr:twoCellAnchor>
  <xdr:twoCellAnchor>
    <xdr:from>
      <xdr:col>7</xdr:col>
      <xdr:colOff>304800</xdr:colOff>
      <xdr:row>22</xdr:row>
      <xdr:rowOff>66675</xdr:rowOff>
    </xdr:from>
    <xdr:to>
      <xdr:col>12</xdr:col>
      <xdr:colOff>504825</xdr:colOff>
      <xdr:row>33</xdr:row>
      <xdr:rowOff>66675</xdr:rowOff>
    </xdr:to>
    <xdr:graphicFrame macro="">
      <xdr:nvGraphicFramePr>
        <xdr:cNvPr id="10" name="Chart 9">
          <a:extLst>
            <a:ext uri="{FF2B5EF4-FFF2-40B4-BE49-F238E27FC236}">
              <a16:creationId xmlns:a16="http://schemas.microsoft.com/office/drawing/2014/main" id="{0981ADA9-A8AD-42D7-ADDE-816BC7B111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590550</xdr:colOff>
      <xdr:row>21</xdr:row>
      <xdr:rowOff>28575</xdr:rowOff>
    </xdr:from>
    <xdr:to>
      <xdr:col>18</xdr:col>
      <xdr:colOff>342900</xdr:colOff>
      <xdr:row>33</xdr:row>
      <xdr:rowOff>38100</xdr:rowOff>
    </xdr:to>
    <xdr:sp macro="" textlink="">
      <xdr:nvSpPr>
        <xdr:cNvPr id="14" name="Rectangle 13">
          <a:extLst>
            <a:ext uri="{FF2B5EF4-FFF2-40B4-BE49-F238E27FC236}">
              <a16:creationId xmlns:a16="http://schemas.microsoft.com/office/drawing/2014/main" id="{9AC922F1-5957-4AA4-88BE-92B9507E4811}"/>
            </a:ext>
          </a:extLst>
        </xdr:cNvPr>
        <xdr:cNvSpPr/>
      </xdr:nvSpPr>
      <xdr:spPr>
        <a:xfrm>
          <a:off x="7905750" y="4029075"/>
          <a:ext cx="3409950" cy="2295525"/>
        </a:xfrm>
        <a:prstGeom prst="rect">
          <a:avLst/>
        </a:prstGeom>
        <a:solidFill>
          <a:schemeClr val="bg1"/>
        </a:solidFill>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chemeClr val="accent3">
                <a:lumMod val="20000"/>
                <a:lumOff val="80000"/>
              </a:schemeClr>
            </a:solidFill>
          </a:endParaRPr>
        </a:p>
      </xdr:txBody>
    </xdr:sp>
    <xdr:clientData/>
  </xdr:twoCellAnchor>
  <xdr:twoCellAnchor>
    <xdr:from>
      <xdr:col>13</xdr:col>
      <xdr:colOff>161924</xdr:colOff>
      <xdr:row>22</xdr:row>
      <xdr:rowOff>47624</xdr:rowOff>
    </xdr:from>
    <xdr:to>
      <xdr:col>18</xdr:col>
      <xdr:colOff>95249</xdr:colOff>
      <xdr:row>32</xdr:row>
      <xdr:rowOff>142875</xdr:rowOff>
    </xdr:to>
    <xdr:graphicFrame macro="">
      <xdr:nvGraphicFramePr>
        <xdr:cNvPr id="16" name="Chart 15">
          <a:extLst>
            <a:ext uri="{FF2B5EF4-FFF2-40B4-BE49-F238E27FC236}">
              <a16:creationId xmlns:a16="http://schemas.microsoft.com/office/drawing/2014/main" id="{821802E4-9745-4EF1-A464-71D2D1D71A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484187</xdr:colOff>
      <xdr:row>4</xdr:row>
      <xdr:rowOff>9526</xdr:rowOff>
    </xdr:from>
    <xdr:to>
      <xdr:col>9</xdr:col>
      <xdr:colOff>504824</xdr:colOff>
      <xdr:row>7</xdr:row>
      <xdr:rowOff>180976</xdr:rowOff>
    </xdr:to>
    <xdr:sp macro="" textlink="">
      <xdr:nvSpPr>
        <xdr:cNvPr id="17" name="Rectangle 16">
          <a:extLst>
            <a:ext uri="{FF2B5EF4-FFF2-40B4-BE49-F238E27FC236}">
              <a16:creationId xmlns:a16="http://schemas.microsoft.com/office/drawing/2014/main" id="{4D353B35-23EE-40C2-A32F-3E8461AE0D11}"/>
            </a:ext>
          </a:extLst>
        </xdr:cNvPr>
        <xdr:cNvSpPr/>
      </xdr:nvSpPr>
      <xdr:spPr>
        <a:xfrm>
          <a:off x="2317750" y="739776"/>
          <a:ext cx="3687762" cy="719138"/>
        </a:xfrm>
        <a:prstGeom prst="rect">
          <a:avLst/>
        </a:prstGeom>
        <a:solidFill>
          <a:schemeClr val="bg1"/>
        </a:solidFill>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b="1">
              <a:solidFill>
                <a:schemeClr val="tx1"/>
              </a:solidFill>
            </a:rPr>
            <a:t>BOOK SALES AND RATING ANALYSIS</a:t>
          </a:r>
        </a:p>
      </xdr:txBody>
    </xdr:sp>
    <xdr:clientData/>
  </xdr:twoCellAnchor>
  <xdr:twoCellAnchor>
    <xdr:from>
      <xdr:col>4</xdr:col>
      <xdr:colOff>26106</xdr:colOff>
      <xdr:row>8</xdr:row>
      <xdr:rowOff>5292</xdr:rowOff>
    </xdr:from>
    <xdr:to>
      <xdr:col>7</xdr:col>
      <xdr:colOff>121356</xdr:colOff>
      <xdr:row>32</xdr:row>
      <xdr:rowOff>169687</xdr:rowOff>
    </xdr:to>
    <xdr:sp macro="" textlink="">
      <xdr:nvSpPr>
        <xdr:cNvPr id="18" name="Rectangle: Top Corners One Rounded and One Snipped 17">
          <a:extLst>
            <a:ext uri="{FF2B5EF4-FFF2-40B4-BE49-F238E27FC236}">
              <a16:creationId xmlns:a16="http://schemas.microsoft.com/office/drawing/2014/main" id="{8146B6C0-FACB-41A1-8EAB-939D3B50F0B5}"/>
            </a:ext>
          </a:extLst>
        </xdr:cNvPr>
        <xdr:cNvSpPr/>
      </xdr:nvSpPr>
      <xdr:spPr>
        <a:xfrm>
          <a:off x="2453217" y="1472848"/>
          <a:ext cx="1915583" cy="4567061"/>
        </a:xfrm>
        <a:prstGeom prst="snipRoundRect">
          <a:avLst/>
        </a:prstGeom>
        <a:solidFill>
          <a:schemeClr val="tx2">
            <a:lumMod val="75000"/>
          </a:schemeClr>
        </a:solidFill>
        <a:ln>
          <a:noFill/>
        </a:ln>
        <a:effectLst>
          <a:innerShdw blurRad="63500" dist="50800" dir="189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4</xdr:col>
      <xdr:colOff>79376</xdr:colOff>
      <xdr:row>12</xdr:row>
      <xdr:rowOff>31750</xdr:rowOff>
    </xdr:from>
    <xdr:to>
      <xdr:col>7</xdr:col>
      <xdr:colOff>25401</xdr:colOff>
      <xdr:row>33</xdr:row>
      <xdr:rowOff>63500</xdr:rowOff>
    </xdr:to>
    <mc:AlternateContent xmlns:mc="http://schemas.openxmlformats.org/markup-compatibility/2006" xmlns:a14="http://schemas.microsoft.com/office/drawing/2010/main">
      <mc:Choice Requires="a14">
        <xdr:graphicFrame macro="">
          <xdr:nvGraphicFramePr>
            <xdr:cNvPr id="26" name="Genre 1">
              <a:extLst>
                <a:ext uri="{FF2B5EF4-FFF2-40B4-BE49-F238E27FC236}">
                  <a16:creationId xmlns:a16="http://schemas.microsoft.com/office/drawing/2014/main" id="{1A83028C-9797-4C3A-A4D2-627207DB93A8}"/>
                </a:ext>
              </a:extLst>
            </xdr:cNvPr>
            <xdr:cNvGraphicFramePr/>
          </xdr:nvGraphicFramePr>
          <xdr:xfrm>
            <a:off x="0" y="0"/>
            <a:ext cx="0" cy="0"/>
          </xdr:xfrm>
          <a:graphic>
            <a:graphicData uri="http://schemas.microsoft.com/office/drawing/2010/slicer">
              <sle:slicer xmlns:sle="http://schemas.microsoft.com/office/drawing/2010/slicer" name="Genre 1"/>
            </a:graphicData>
          </a:graphic>
        </xdr:graphicFrame>
      </mc:Choice>
      <mc:Fallback xmlns="">
        <xdr:sp macro="" textlink="">
          <xdr:nvSpPr>
            <xdr:cNvPr id="0" name=""/>
            <xdr:cNvSpPr>
              <a:spLocks noTextEdit="1"/>
            </xdr:cNvSpPr>
          </xdr:nvSpPr>
          <xdr:spPr>
            <a:xfrm>
              <a:off x="2517776" y="2241550"/>
              <a:ext cx="1774825" cy="3898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255413</xdr:colOff>
      <xdr:row>9</xdr:row>
      <xdr:rowOff>57149</xdr:rowOff>
    </xdr:from>
    <xdr:to>
      <xdr:col>6</xdr:col>
      <xdr:colOff>419100</xdr:colOff>
      <xdr:row>11</xdr:row>
      <xdr:rowOff>133350</xdr:rowOff>
    </xdr:to>
    <xdr:sp macro="" textlink="">
      <xdr:nvSpPr>
        <xdr:cNvPr id="5" name="Rectangle 4">
          <a:extLst>
            <a:ext uri="{FF2B5EF4-FFF2-40B4-BE49-F238E27FC236}">
              <a16:creationId xmlns:a16="http://schemas.microsoft.com/office/drawing/2014/main" id="{3B87CEC4-CDB0-4AFC-9292-E4D80180B934}"/>
            </a:ext>
          </a:extLst>
        </xdr:cNvPr>
        <xdr:cNvSpPr/>
      </xdr:nvSpPr>
      <xdr:spPr>
        <a:xfrm>
          <a:off x="2693813" y="1714499"/>
          <a:ext cx="1382887" cy="444501"/>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b="1">
              <a:solidFill>
                <a:schemeClr val="accent1">
                  <a:lumMod val="20000"/>
                  <a:lumOff val="80000"/>
                </a:schemeClr>
              </a:solidFill>
            </a:rPr>
            <a:t>FILTER</a:t>
          </a:r>
          <a:r>
            <a:rPr lang="en-CA" sz="1600" b="1" baseline="0">
              <a:solidFill>
                <a:schemeClr val="accent1">
                  <a:lumMod val="20000"/>
                  <a:lumOff val="80000"/>
                </a:schemeClr>
              </a:solidFill>
            </a:rPr>
            <a:t>  PANEL</a:t>
          </a:r>
          <a:endParaRPr lang="en-CA" sz="1600" b="1">
            <a:solidFill>
              <a:schemeClr val="accent1">
                <a:lumMod val="20000"/>
                <a:lumOff val="80000"/>
              </a:schemeClr>
            </a:solidFill>
          </a:endParaRPr>
        </a:p>
      </xdr:txBody>
    </xdr:sp>
    <xdr:clientData/>
  </xdr:twoCellAnchor>
  <xdr:twoCellAnchor>
    <xdr:from>
      <xdr:col>13</xdr:col>
      <xdr:colOff>114300</xdr:colOff>
      <xdr:row>22</xdr:row>
      <xdr:rowOff>28575</xdr:rowOff>
    </xdr:from>
    <xdr:to>
      <xdr:col>18</xdr:col>
      <xdr:colOff>47625</xdr:colOff>
      <xdr:row>32</xdr:row>
      <xdr:rowOff>104775</xdr:rowOff>
    </xdr:to>
    <xdr:graphicFrame macro="">
      <xdr:nvGraphicFramePr>
        <xdr:cNvPr id="28" name="Chart 27">
          <a:extLst>
            <a:ext uri="{FF2B5EF4-FFF2-40B4-BE49-F238E27FC236}">
              <a16:creationId xmlns:a16="http://schemas.microsoft.com/office/drawing/2014/main" id="{7DCC45D6-6FA1-47E6-B0D3-CB25C2A67B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166689</xdr:colOff>
      <xdr:row>18</xdr:row>
      <xdr:rowOff>19051</xdr:rowOff>
    </xdr:from>
    <xdr:to>
      <xdr:col>6</xdr:col>
      <xdr:colOff>531814</xdr:colOff>
      <xdr:row>22</xdr:row>
      <xdr:rowOff>114301</xdr:rowOff>
    </xdr:to>
    <mc:AlternateContent xmlns:mc="http://schemas.openxmlformats.org/markup-compatibility/2006" xmlns:a14="http://schemas.microsoft.com/office/drawing/2010/main">
      <mc:Choice Requires="a14">
        <xdr:graphicFrame macro="">
          <xdr:nvGraphicFramePr>
            <xdr:cNvPr id="30" name="Year 1">
              <a:extLst>
                <a:ext uri="{FF2B5EF4-FFF2-40B4-BE49-F238E27FC236}">
                  <a16:creationId xmlns:a16="http://schemas.microsoft.com/office/drawing/2014/main" id="{02F590F9-7B4E-4848-8F69-FDAF8D3D2FCD}"/>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605089" y="3333751"/>
              <a:ext cx="1584325" cy="831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190501</xdr:colOff>
      <xdr:row>28</xdr:row>
      <xdr:rowOff>47980</xdr:rowOff>
    </xdr:from>
    <xdr:to>
      <xdr:col>6</xdr:col>
      <xdr:colOff>563564</xdr:colOff>
      <xdr:row>32</xdr:row>
      <xdr:rowOff>174978</xdr:rowOff>
    </xdr:to>
    <mc:AlternateContent xmlns:mc="http://schemas.openxmlformats.org/markup-compatibility/2006" xmlns:a14="http://schemas.microsoft.com/office/drawing/2010/main">
      <mc:Choice Requires="a14">
        <xdr:graphicFrame macro="">
          <xdr:nvGraphicFramePr>
            <xdr:cNvPr id="21" name="Name 1">
              <a:extLst>
                <a:ext uri="{FF2B5EF4-FFF2-40B4-BE49-F238E27FC236}">
                  <a16:creationId xmlns:a16="http://schemas.microsoft.com/office/drawing/2014/main" id="{1AD37470-FD64-400A-B2A4-9AF3BDB56E01}"/>
                </a:ext>
              </a:extLst>
            </xdr:cNvPr>
            <xdr:cNvGraphicFramePr/>
          </xdr:nvGraphicFramePr>
          <xdr:xfrm>
            <a:off x="0" y="0"/>
            <a:ext cx="0" cy="0"/>
          </xdr:xfrm>
          <a:graphic>
            <a:graphicData uri="http://schemas.microsoft.com/office/drawing/2010/slicer">
              <sle:slicer xmlns:sle="http://schemas.microsoft.com/office/drawing/2010/slicer" name="Name 1"/>
            </a:graphicData>
          </a:graphic>
        </xdr:graphicFrame>
      </mc:Choice>
      <mc:Fallback xmlns="">
        <xdr:sp macro="" textlink="">
          <xdr:nvSpPr>
            <xdr:cNvPr id="0" name=""/>
            <xdr:cNvSpPr>
              <a:spLocks noTextEdit="1"/>
            </xdr:cNvSpPr>
          </xdr:nvSpPr>
          <xdr:spPr>
            <a:xfrm>
              <a:off x="2628901" y="5204180"/>
              <a:ext cx="1592263" cy="8635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174626</xdr:colOff>
      <xdr:row>23</xdr:row>
      <xdr:rowOff>23284</xdr:rowOff>
    </xdr:from>
    <xdr:to>
      <xdr:col>6</xdr:col>
      <xdr:colOff>555625</xdr:colOff>
      <xdr:row>27</xdr:row>
      <xdr:rowOff>184149</xdr:rowOff>
    </xdr:to>
    <mc:AlternateContent xmlns:mc="http://schemas.openxmlformats.org/markup-compatibility/2006" xmlns:a14="http://schemas.microsoft.com/office/drawing/2010/main">
      <mc:Choice Requires="a14">
        <xdr:graphicFrame macro="">
          <xdr:nvGraphicFramePr>
            <xdr:cNvPr id="25" name="Reviews 2">
              <a:extLst>
                <a:ext uri="{FF2B5EF4-FFF2-40B4-BE49-F238E27FC236}">
                  <a16:creationId xmlns:a16="http://schemas.microsoft.com/office/drawing/2014/main" id="{297BE158-A681-44C6-9E4E-335E9F2D94C0}"/>
                </a:ext>
              </a:extLst>
            </xdr:cNvPr>
            <xdr:cNvGraphicFramePr/>
          </xdr:nvGraphicFramePr>
          <xdr:xfrm>
            <a:off x="0" y="0"/>
            <a:ext cx="0" cy="0"/>
          </xdr:xfrm>
          <a:graphic>
            <a:graphicData uri="http://schemas.microsoft.com/office/drawing/2010/slicer">
              <sle:slicer xmlns:sle="http://schemas.microsoft.com/office/drawing/2010/slicer" name="Reviews 2"/>
            </a:graphicData>
          </a:graphic>
        </xdr:graphicFrame>
      </mc:Choice>
      <mc:Fallback xmlns="">
        <xdr:sp macro="" textlink="">
          <xdr:nvSpPr>
            <xdr:cNvPr id="0" name=""/>
            <xdr:cNvSpPr>
              <a:spLocks noTextEdit="1"/>
            </xdr:cNvSpPr>
          </xdr:nvSpPr>
          <xdr:spPr>
            <a:xfrm>
              <a:off x="2613026" y="4258734"/>
              <a:ext cx="1600199" cy="8974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C" refreshedDate="45832.698426041665" createdVersion="7" refreshedVersion="7" minRefreshableVersion="3" recordCount="550" xr:uid="{2580F0F1-0AFF-48BD-93C2-2C242DBE2B71}">
  <cacheSource type="worksheet">
    <worksheetSource name="Table2_2"/>
  </cacheSource>
  <cacheFields count="11">
    <cacheField name="Name" numFmtId="0">
      <sharedItems count="350">
        <s v="10-Day Green Smoothie Cleanse"/>
        <s v="11/22/63: A Novel"/>
        <s v="12 Rules for Life: An Antidote to Chaos"/>
        <s v="1984 (Signet Classics)"/>
        <s v="5,000 Awesome Facts (About Everything!) (National Geographic Kids)"/>
        <s v="A Dance with Dragons (A Song of Ice and Fire)"/>
        <s v="A Game of Thrones / A Clash of Kings / A Storm of Swords / A Feast of Crows / A Dance with Dragons"/>
        <s v="A Gentleman in Moscow: A Novel"/>
        <s v="A Higher Loyalty: Truth, Lies, and Leadership"/>
        <s v="A Man Called Ove: A Novel"/>
        <s v="A Patriot's History of the United States: From Columbus's Great Discovery to the War on Terror"/>
        <s v="A Stolen Life: A Memoir"/>
        <s v="A Wrinkle in Time (Time Quintet)"/>
        <s v="Act Like a Lady, Think Like a Man: What Men Really Think About Love, Relationships, Intimacy, and Commitment"/>
        <s v="Adult Coloring Book Designs: Stress Relief Coloring Book: Garden Designs, Mandalas, Animals, and Paisley Patterns"/>
        <s v="Adult Coloring Book: Stress Relieving Animal Designs"/>
        <s v="Adult Coloring Book: Stress Relieving Patterns"/>
        <s v="Adult Coloring Books: A Coloring Book for Adults Featuring Mandalas and Henna Inspired Flowers, Animals, and Paisleyâ€¦"/>
        <s v="Alexander Hamilton"/>
        <s v="All the Light We Cannot See"/>
        <s v="Allegiant"/>
        <s v="American Sniper: The Autobiography of the Most Lethal Sniper in U.S. Military History"/>
        <s v="And the Mountains Echoed"/>
        <s v="Arguing with Idiots: How to Stop Small Minds and Big Government"/>
        <s v="Astrophysics for People in a Hurry"/>
        <s v="Autobiography of Mark Twain, Vol. 1"/>
        <s v="Baby Touch and Feel: Animals"/>
        <s v="Balance (Angie's Extreme Stress Menders)"/>
        <s v="Barefoot Contessa Foolproof: Recipes You Can Trust: A Cookbook"/>
        <s v="Barefoot Contessa, How Easy Is That?: Fabulous Recipes &amp; Easy Tips"/>
        <s v="Becoming"/>
        <s v="Being Mortal: Medicine and What Matters in the End"/>
        <s v="Between the World and Me"/>
        <s v="Born to Run"/>
        <s v="Breaking Dawn (The Twilight Saga, Book 4)"/>
        <s v="Broke: The Plan to Restore Our Trust, Truth and Treasure"/>
        <s v="Brown Bear, Brown Bear, What Do You See?"/>
        <s v="Cabin Fever (Diary of a Wimpy Kid, Book 6)"/>
        <s v="Calm the F*ck Down: An Irreverent Adult Coloring Book (Irreverent Book Series)"/>
        <s v="Can't Hurt Me: Master Your Mind and Defy the Odds"/>
        <s v="Capital in the Twenty First Century"/>
        <s v="Catching Fire (The Hunger Games)"/>
        <s v="Cravings: Recipes for All the Food You Want to Eat: A Cookbook"/>
        <s v="Crazy Love: Overwhelmed by a Relentless God"/>
        <s v="Crazy Rich Asians (Crazy Rich Asians Trilogy)"/>
        <s v="Creative Haven Creative Cats Coloring Book (Adult Coloring)"/>
        <s v="Creative Haven Owls Coloring Book (Adult Coloring)"/>
        <s v="Cutting for Stone"/>
        <s v="Daring Greatly: How the Courage to Be Vulnerable Transforms the Way We Live, Love, Parent, and Lead"/>
        <s v="David and Goliath: Underdogs, Misfits, and the Art of Battling Giants"/>
        <s v="Dead And Gone: A Sookie Stackhouse Novel (Sookie Stackhouse/True Blood)"/>
        <s v="Dead in the Family (Sookie Stackhouse/True Blood, Book 10)"/>
        <s v="Dead Reckoning (Sookie Stackhouse/True Blood, Book 11)"/>
        <s v="Dear Zoo: A Lift-the-Flap Book"/>
        <s v="Decision Points"/>
        <s v="Delivering Happiness: A Path to Profits, Passion, and Purpose"/>
        <s v="Diagnostic and Statistical Manual of Mental Disorders, 5th Edition: DSM-5"/>
        <s v="Diary of a Wimpy Kid: Hard Luck, Book 8"/>
        <s v="Diary of a Wimpy Kid: The Last Straw (Book 3)"/>
        <s v="Diary of a Wimpy Kid: The Long Haul"/>
        <s v="Difficult Riddles For Smart Kids: 300 Difficult Riddles And Brain Teasers Families Will Love (Books for Smart Kids)"/>
        <s v="Divergent"/>
        <s v="Divergent / Insurgent"/>
        <s v="Divine Soul Mind Body Healing and Transmission System: The Divine Way to Heal You, Humanity, Mother Earth, and Allâ€¦"/>
        <s v="Doctor Sleep: A Novel"/>
        <s v="Dog Days (Diary of a Wimpy Kid, Book 4) (Volume 4)"/>
        <s v="Dog Man and Cat Kid: From the Creator of Captain Underpants (Dog Man #4)"/>
        <s v="Dog Man: A Tale of Two Kitties: From the Creator of Captain Underpants (Dog Man #3)"/>
        <s v="Dog Man: Brawl of the Wild: From the Creator of Captain Underpants (Dog Man #6)"/>
        <s v="Dog Man: Fetch-22: From the Creator of Captain Underpants (Dog Man #8)"/>
        <s v="Dog Man: For Whom the Ball Rolls: From the Creator of Captain Underpants (Dog Man #7)"/>
        <s v="Dog Man: Lord of the Fleas: From the Creator of Captain Underpants (Dog Man #5)"/>
        <s v="Double Down (Diary of a Wimpy Kid #11)"/>
        <s v="Dover Creative Haven Art Nouveau Animal Designs Coloring Book (Creative Haven Coloring Books)"/>
        <s v="Drive: The Surprising Truth About What Motivates Us"/>
        <s v="Eat This Not That! Supermarket Survival Guide: The No-Diet Weight Loss Solution"/>
        <s v="Eat This, Not That! Thousands of Simple Food Swaps that Can Save You 10, 20, 30 Pounds--or More!"/>
        <s v="Eat to Live: The Amazing Nutrient-Rich Program for Fast and Sustained Weight Loss, Revised Edition"/>
        <s v="Eclipse (Twilight Sagas)"/>
        <s v="Eclipse (Twilight)"/>
        <s v="Educated: A Memoir"/>
        <s v="Enchanted Forest: An Inky Quest and Coloring book (Activity Books, Mindfulness and Meditation, Illustrated Floral Printsâ€¦"/>
        <s v="Fahrenheit 451"/>
        <s v="Fantastic Beasts and Where to Find Them: The Original Screenplay (Harry Potter)"/>
        <s v="Fear: Trump in the White House"/>
        <s v="Fifty Shades Darker"/>
        <s v="Fifty Shades Freed: Book Three of the Fifty Shades Trilogy (Fifty Shades of Grey Series) (English Edition)"/>
        <s v="Fifty Shades of Grey: Book One of the Fifty Shades Trilogy (Fifty Shades of Grey Series)"/>
        <s v="Fifty Shades Trilogy (Fifty Shades of Grey / Fifty Shades Darker / Fifty Shades Freed)"/>
        <s v="Fire and Fury: Inside the Trump White House"/>
        <s v="First 100 Words"/>
        <s v="Food Rules: An Eater's Manual"/>
        <s v="Frozen (Little Golden Book)"/>
        <s v="Game Change: Obama and the Clintons, McCain and Palin, and the Race of a Lifetime"/>
        <s v="Game of Thrones Boxed Set: A Game of Thrones/A Clash of Kings/A Storm of Swords/A Feast for Crows"/>
        <s v="George Washington's Sacred Fire"/>
        <s v="George Washington's Secret Six: The Spy Ring That Saved the American Revolution"/>
        <s v="Giraffes Can't Dance"/>
        <s v="Girl, Stop Apologizing: A Shame-Free Plan for Embracing and Achieving Your Goals"/>
        <s v="Girl, Wash Your Face: Stop Believing the Lies About Who You Are So You Can Become Who You Were Meant to Be"/>
        <s v="Glenn Beck's Common Sense: The Case Against an Out-of-Control Government, Inspired by Thomas Paine"/>
        <s v="Go Set a Watchman: A Novel"/>
        <s v="Go the F**k to Sleep"/>
        <s v="Going Rogue: An American Life"/>
        <s v="Gone Girl"/>
        <s v="Good Days Start With Gratitude: A 52 Week Guide To Cultivate An Attitude Of Gratitude: Gratitude Journal"/>
        <s v="Good to Great: Why Some Companies Make the Leap and Others Don't"/>
        <s v="Goodnight Moon"/>
        <s v="Goodnight, Goodnight Construction Site (Hardcover Books for Toddlers, Preschool Books for Kids)"/>
        <s v="Grain Brain: The Surprising Truth about Wheat, Carbs, and Sugar--Your Brain's Silent Killers"/>
        <s v="Grey: Fifty Shades of Grey as Told by Christian (Fifty Shades of Grey Series)"/>
        <s v="Guts"/>
        <s v="Hamilton: The Revolution"/>
        <s v="Happy, Happy, Happy: My Life and Legacy as the Duck Commander"/>
        <s v="Harry Potter and the Chamber of Secrets: The Illustrated Edition (Harry Potter, Book 2)"/>
        <s v="Harry Potter and the Cursed Child, Parts 1 &amp; 2, Special Rehearsal Edition Script"/>
        <s v="Harry Potter and the Goblet of Fire: The Illustrated Edition (Harry Potter, Book 4) (4)"/>
        <s v="Harry Potter and the Prisoner of Azkaban: The Illustrated Edition (Harry Potter, Book 3)"/>
        <s v="Harry Potter and the Sorcerer's Stone: The Illustrated Edition (Harry Potter, Book 1)"/>
        <s v="Harry Potter Coloring Book"/>
        <s v="Harry Potter Paperback Box Set (Books 1-7)"/>
        <s v="Have a Little Faith: A True Story"/>
        <s v="Heaven is for Real: A Little Boy's Astounding Story of His Trip to Heaven and Back"/>
        <s v="Hillbilly Elegy: A Memoir of a Family and Culture in Crisis"/>
        <s v="Homebody: A Guide to Creating Spaces You Never Want to Leave"/>
        <s v="How to Win Friends &amp; Influence People"/>
        <s v="Howard Stern Comes Again"/>
        <s v="Humans of New York"/>
        <s v="Humans of New York : Stories"/>
        <s v="Hyperbole and a Half: Unfortunate Situations, Flawed Coping Mechanisms, Mayhem, and Other Things That Happened"/>
        <s v="I Am Confident, Brave &amp; Beautiful: A Coloring Book for Girls"/>
        <s v="I, Alex Cross"/>
        <s v="If Animals Kissed Good Night"/>
        <s v="If I Stay"/>
        <s v="In the Garden of Beasts: Love, Terror, and an American Family in Hitler's Berlin"/>
        <s v="Inferno"/>
        <s v="Inheritance: Book IV (Inheritance Cycle)"/>
        <s v="Instant Pot Pressure Cooker Cookbook: 500 Everyday Recipes for Beginners and Advanced Users. Try Easy and Healthyâ€¦"/>
        <s v="It's Not Supposed to Be This Way: Finding Unexpected Strength When Disappointments Leave You Shattered"/>
        <s v="Jesus Calling: Enjoying Peace in His Presence (with Scripture References)"/>
        <s v="JOURNEY TO THE ICE P"/>
        <s v="Joyland (Hard Case Crime)"/>
        <s v="Killers of the Flower Moon: The Osage Murders and the Birth of the FBI"/>
        <s v="Killing Jesus (Bill O'Reilly's Killing Series)"/>
        <s v="Killing Kennedy: The End of Camelot"/>
        <s v="Killing Lincoln: The Shocking Assassination that Changed America Forever (Bill O'Reilly's Killing Series)"/>
        <s v="Killing Patton: The Strange Death of World War II's Most Audacious General (Bill O'Reilly's Killing Series)"/>
        <s v="Killing Reagan: The Violent Assault That Changed a Presidency (Bill O'Reilly's Killing Series)"/>
        <s v="Killing the Rising Sun: How America Vanquished World War II Japan (Bill O'Reilly's Killing Series)"/>
        <s v="Kitchen Confidential Updated Edition: Adventures in the Culinary Underbelly (P.S.)"/>
        <s v="Knock-Knock Jokes for Kids"/>
        <s v="Last Week Tonight with John Oliver Presents A Day in the Life of Marlon Bundo (Better Bundo Book, LGBT ChildrenÂ’s Book)"/>
        <s v="Laugh-Out-Loud Jokes for Kids"/>
        <s v="Lean In: Women, Work, and the Will to Lead"/>
        <s v="Leonardo da Vinci"/>
        <s v="Lettering and Modern Calligraphy: A Beginner's Guide: Learn Hand Lettering and Brush Lettering"/>
        <s v="Liberty and Tyranny: A Conservative Manifesto"/>
        <s v="Life"/>
        <s v="Little Bee: A Novel"/>
        <s v="Little Blue Truck"/>
        <s v="Little Fires Everywhere"/>
        <s v="Looking for Alaska"/>
        <s v="Love Wins: A Book About Heaven, Hell, and the Fate of Every Person Who Ever Lived"/>
        <s v="Love You Forever"/>
        <s v="Magnolia Table: A Collection of Recipes for Gathering"/>
        <s v="Make It Ahead: A Barefoot Contessa Cookbook"/>
        <s v="Make Your Bed: Little Things That Can Change Your Life...And Maybe the World"/>
        <s v="Mastering the Art of French Cooking, Vol. 2"/>
        <s v="Milk and Honey"/>
        <s v="Milk and Vine: Inspirational Quotes From Classic Vines"/>
        <s v="Mindset: The New Psychology of Success"/>
        <s v="Mockingjay (The Hunger Games)"/>
        <s v="National Geographic Kids Why?: Over 1,111 Answers to Everything"/>
        <s v="National Geographic Little Kids First Big Book of Why (National Geographic Little Kids First Big Books)"/>
        <s v="New Moon (The Twilight Saga)"/>
        <s v="Night (Night)"/>
        <s v="No Easy Day: The Autobiography of a Navy Seal: The Firsthand Account of the Mission That Killed Osama Bin Laden"/>
        <s v="Obama: An Intimate Portrait"/>
        <s v="Oh, the Places You'll Go!"/>
        <s v="Old School (Diary of a Wimpy Kid #10)"/>
        <s v="Olive Kitteridge"/>
        <s v="One Thousand Gifts: A Dare to Live Fully Right Where You Are"/>
        <s v="Option B: Facing Adversity, Building Resilience, and Finding Joy"/>
        <s v="Origin: A Novel (Robert Langdon)"/>
        <s v="Orphan Train"/>
        <s v="Outliers: The Story of Success"/>
        <s v="P is for Potty! (Sesame Street) (Lift-the-Flap)"/>
        <s v="Percy Jackson and the Olympians Paperback Boxed Set (Books 1-3)"/>
        <s v="Player's Handbook (Dungeons &amp; Dragons)"/>
        <s v="PokÃ©mon Deluxe Essential Handbook: The Need-to-Know Stats and Facts on Over 700 PokÃ©mon"/>
        <s v="Proof of Heaven: A Neurosurgeon's Journey into the Afterlife"/>
        <s v="Publication Manual of the American Psychological Association, 6th Edition"/>
        <s v="Puppy Birthday to You! (Paw Patrol) (Little Golden Book)"/>
        <s v="Quiet: The Power of Introverts in a World That Can't Stop Talking"/>
        <s v="Radical: Taking Back Your Faith from the American Dream"/>
        <s v="Ready Player One: A Novel"/>
        <s v="Rush Revere and the Brave Pilgrims: Time-Travel Adventures with Exceptional Americans (1)"/>
        <s v="Rush Revere and the First Patriots: Time-Travel Adventures With Exceptional Americans (2)"/>
        <s v="Salt, Fat, Acid, Heat: Mastering the Elements of Good Cooking"/>
        <s v="Sarah's Key"/>
        <s v="School Zone - Big Preschool Workbook - Ages 4 and Up, Colors, Shapes, Numbers 1-10, Alphabet, Pre-Writing, Pre-Readingâ€¦"/>
        <s v="Secret Garden: An Inky Treasure Hunt and Coloring Book (For Adults, mindfulness coloring)"/>
        <s v="Sh*t My Dad Says"/>
        <s v="Ship of Fools: How a Selfish Ruling Class Is Bringing America to the Brink of Revolution"/>
        <s v="Shred: The Revolutionary Diet: 6 Weeks 4 Inches 2 Sizes"/>
        <s v="Sookie Stackhouse"/>
        <s v="Soul Healing Miracles: Ancient and New Sacred Wisdom, Knowledge, and Practical Techniques for Healing the Spiritualâ€¦"/>
        <s v="Steve Jobs"/>
        <s v="Strange Planet (Strange Planet Series)"/>
        <s v="StrengthsFinder 2.0"/>
        <s v="Super Freakonomics: Global Cooling, Patriotic Prostitutes, and Why Suicide Bombers Should Buy Life Insurance"/>
        <s v="Switch: How to Change Things When Change Is Hard"/>
        <s v="Sycamore Row (Jake Brigance)"/>
        <s v="Teach Like a Champion: 49 Techniques that Put Students on the Path to College"/>
        <s v="The 17 Day Diet: A Doctor's Plan Designed for Rapid Results"/>
        <s v="The 4 Hour Body: An Uncommon Guide to Rapid Fat Loss, Incredible Sex and Becoming Superhuman"/>
        <s v="The 5 Love Languages: The Secret to Love That Lasts"/>
        <s v="The 5000 Year Leap"/>
        <s v="The 7 Habits of Highly Effective People: Powerful Lessons in Personal Change"/>
        <s v="The Alchemist"/>
        <s v="The Amateur"/>
        <s v="The Art of Racing in the Rain: A Novel"/>
        <s v="The Big Short: Inside the Doomsday Machine"/>
        <s v="The Blood of Olympus (The Heroes of Olympus (5))"/>
        <s v="The Blood Sugar Solution: The UltraHealthy Program for Losing Weight, Preventing Disease, and Feeling Great Now!"/>
        <s v="The Body Keeps the Score: Brain, Mind, and Body in the Healing of Trauma"/>
        <s v="The Book of Basketball: The NBA According to The Sports Guy"/>
        <s v="The Book Thief"/>
        <s v="The Book with No Pictures"/>
        <s v="The Boys in the Boat: Nine Americans and Their Epic Quest for Gold at the 1936 Berlin Olympics"/>
        <s v="The Casual Vacancy"/>
        <s v="The China Study: The Most Comprehensive Study of Nutrition Ever Conducted And the Startling Implications for Dietâ€¦"/>
        <s v="The Complete Ketogenic Diet for Beginners: Your Essential Guide to Living the Keto Lifestyle"/>
        <s v="The Confession: A Novel"/>
        <s v="The Constitution of the United States"/>
        <s v="The Daily Show with Jon Stewart Presents Earth (The Book): A Visitor's Guide to the Human Race"/>
        <s v="The Day the Crayons Quit"/>
        <s v="The Dukan Diet: 2 Steps to Lose the Weight, 2 Steps to Keep It Off Forever"/>
        <s v="The Elegance of the Hedgehog"/>
        <s v="The Fault in Our Stars"/>
        <s v="The Five Dysfunctions of a Team: A Leadership Fable"/>
        <s v="The Five Love Languages: How to Express Heartfelt Commitment to Your Mate"/>
        <s v="The Four Agreements: A Practical Guide to Personal Freedom (A Toltec Wisdom Book)"/>
        <s v="The Getaway"/>
        <s v="The Girl on the Train"/>
        <s v="The Girl Who Kicked the Hornet's Nest (Millennium Trilogy)"/>
        <s v="The Girl Who Played with Fire (Millennium Series)"/>
        <s v="The Girl Who Played with Fire (Millennium)"/>
        <s v="The Girl with the Dragon Tattoo (Millennium Series)"/>
        <s v="The Going-To-Bed Book"/>
        <s v="The Goldfinch: A Novel (Pulitzer Prize for Fiction)"/>
        <s v="The Great Gatsby"/>
        <s v="The Guardians: A Novel"/>
        <s v="The Guernsey Literary and Potato Peel Pie Society"/>
        <s v="The Handmaid's Tale"/>
        <s v="The Harbinger: The Ancient Mystery that Holds the Secret of America's Future"/>
        <s v="The Hate U Give"/>
        <s v="The Help"/>
        <s v="The House of Hades (Heroes of Olympus, Book 4)"/>
        <s v="The Hunger Games"/>
        <s v="The Hunger Games (Book 1)"/>
        <s v="The Hunger Games Trilogy Boxed Set (1)"/>
        <s v="The Immortal Life of Henrietta Lacks"/>
        <s v="The Instant Pot Electric Pressure Cooker Cookbook: Easy Recipes for Fast &amp; Healthy Meals"/>
        <s v="The Last Lecture"/>
        <s v="The Last Olympian (Percy Jackson and the Olympians, Book 5)"/>
        <s v="The Legend of Zelda: Hyrule Historia"/>
        <s v="The Lego Ideas Book: Unlock Your Imagination"/>
        <s v="The Life-Changing Magic of Tidying Up: The Japanese Art of Decluttering and Organizing"/>
        <s v="The Litigators"/>
        <s v="The Lost Hero (Heroes of Olympus, Book 1)"/>
        <s v="The Lost Symbol"/>
        <s v="The Love Dare"/>
        <s v="The Magnolia Story"/>
        <s v="The Mark of Athena (Heroes of Olympus, Book 3)"/>
        <s v="The Martian"/>
        <s v="The Maze Runner (Book 1)"/>
        <s v="The Meltdown (Diary of a Wimpy Kid Book 13)"/>
        <s v="The Mueller Report"/>
        <s v="The Nightingale: A Novel"/>
        <s v="The Official SAT Study Guide"/>
        <s v="The Official SAT Study Guide, 2016 Edition (Official Study Guide for the New Sat)"/>
        <s v="The Paris Wife: A Novel"/>
        <s v="The Pioneer Woman Cooks: A Year of Holidays: 140 Step-by-Step Recipes for Simple, Scrumptious Celebrations"/>
        <s v="The Pioneer Woman Cooks: Dinnertime - Comfort Classics, Freezer Food, 16-minute Meals, and Other Delicious Ways to Solveâ€¦"/>
        <s v="The Pioneer Woman Cooks: Food from My Frontier"/>
        <s v="The Plant Paradox Cookbook: 100 Delicious Recipes to Help You Lose Weight, Heal Your Gut, and Live Lectin-Free"/>
        <s v="The Plant Paradox: The Hidden Dangers in &quot;Healthy&quot; Foods That Cause Disease and Weight Gain"/>
        <s v="The Pout-Pout Fish"/>
        <s v="The Power of Habit: Why We Do What We Do in Life and Business"/>
        <s v="The President Is Missing: A Novel"/>
        <s v="The Racketeer"/>
        <s v="The Red Pyramid (The Kane Chronicles, Book 1)"/>
        <s v="The Road to Serfdom: Text and Documents--The Definitive Edition (The Collected Works of F. A. Hayek, Volume 2)"/>
        <s v="The Serpent's Shadow (The Kane Chronicles, Book 3)"/>
        <s v="The Shack: Where Tragedy Confronts Eternity"/>
        <s v="The Short Second Life of Bree Tanner: An Eclipse Novella (The Twilight Saga)"/>
        <s v="The Silent Patient"/>
        <s v="The Son of Neptune (Heroes of Olympus, Book 2)"/>
        <s v="The Subtle Art of Not Giving a F*ck: A Counterintuitive Approach to Living a Good Life"/>
        <s v="The Sun and Her Flowers"/>
        <s v="The Third Wheel (Diary of a Wimpy Kid, Book 7)"/>
        <s v="The Throne of Fire (The Kane Chronicles, Book 2)"/>
        <s v="The Time Traveler's Wife"/>
        <s v="The Tipping Point: How Little Things Can Make a Big Difference"/>
        <s v="The Total Money Makeover: Classic Edition: A Proven Plan for Financial Fitness"/>
        <s v="The Twilight Saga Collection"/>
        <s v="The Ugly Truth (Diary of a Wimpy Kid, Book 5)"/>
        <s v="The Unofficial Harry Potter Cookbook: From Cauldron Cakes to Knickerbocker Glory--More Than 150 Magical Recipes forâ€¦"/>
        <s v="The Very Hungry Caterpillar"/>
        <s v="The Whole30: The 30-Day Guide to Total Health and Food Freedom"/>
        <s v="The Wonderful Things You Will Be"/>
        <s v="The Wonky Donkey"/>
        <s v="The Wright Brothers"/>
        <s v="Things That Matter: Three Decades of Passions, Pastimes and Politics [Deckled Edge]"/>
        <s v="Thinking, Fast and Slow"/>
        <s v="Thirteen Reasons Why"/>
        <s v="Thomas Jefferson: The Art of Power"/>
        <s v="Three Cups of Tea: One Man's Mission to Promote Peace - One School at a Time"/>
        <s v="Thug Kitchen: The Official Cookbook: Eat Like You Give a F*ck (Thug Kitchen Cookbooks)"/>
        <s v="Tina Fey: Bossypants"/>
        <s v="To Kill a Mockingbird"/>
        <s v="Tools of Titans: The Tactics, Routines, and Habits of Billionaires, Icons, and World-Class Performers"/>
        <s v="Towers of Midnight (Wheel of Time, Book Thirteen)"/>
        <s v="True Compass: A Memoir"/>
        <s v="Twilight (The Twilight Saga, Book 1)"/>
        <s v="Ultimate Sticker Book: Frozen: More Than 60 Reusable Full-Color Stickers"/>
        <s v="Unbroken: A World War II Story of Survival, Resilience, and Redemption"/>
        <s v="Under the Dome: A Novel"/>
        <s v="Unfreedom of the Press"/>
        <s v="Unicorn Coloring Book: For Kids Ages 4-8 (US Edition) (Silly Bear Coloring Books)"/>
        <s v="Uninvited: Living Loved When You Feel Less Than, Left Out, and Lonely"/>
        <s v="Watchmen"/>
        <s v="Water for Elephants: A Novel"/>
        <s v="What Happened"/>
        <s v="What If?: Serious Scientific Answers to Absurd Hypothetical Questions"/>
        <s v="What Pet Should I Get? (Classic Seuss)"/>
        <s v="What Should Danny Do? (The Power to Choose Series)"/>
        <s v="What to Expect When You're Expecting"/>
        <s v="Wheat Belly: Lose the Wheat, Lose the Weight, and Find Your Path Back to Health"/>
        <s v="When Breath Becomes Air"/>
        <s v="Where the Crawdads Sing"/>
        <s v="Where the Wild Things Are"/>
        <s v="Whose Boat Is This Boat?: Comments That Don't Help in the Aftermath of a Hurricane"/>
        <s v="Wild: From Lost to Found on the Pacific Crest Trail"/>
        <s v="Winter of the World: Book Two of the Century Trilogy"/>
        <s v="Women Food and God: An Unexpected Path to Almost Everything"/>
        <s v="Wonder"/>
        <s v="Wrecking Ball (Diary of a Wimpy Kid Book 14)"/>
        <s v="You Are a Badass: How to Stop Doubting Your Greatness and Start Living an Awesome Life"/>
      </sharedItems>
    </cacheField>
    <cacheField name="Author" numFmtId="0">
      <sharedItems/>
    </cacheField>
    <cacheField name="User_Rating" numFmtId="0">
      <sharedItems containsSemiMixedTypes="0" containsString="0" containsNumber="1" minValue="3.3" maxValue="4.9000000000000004" count="14">
        <n v="4.7"/>
        <n v="4.5999999999999996"/>
        <n v="4.8"/>
        <n v="4.4000000000000004"/>
        <n v="4.5"/>
        <n v="3.9"/>
        <n v="4.3"/>
        <n v="4.2"/>
        <n v="4.9000000000000004"/>
        <n v="3.8"/>
        <n v="3.6"/>
        <n v="4"/>
        <n v="4.0999999999999996"/>
        <n v="3.3"/>
      </sharedItems>
    </cacheField>
    <cacheField name="User_Rating_outlier" numFmtId="0">
      <sharedItems count="2">
        <s v="Normal"/>
        <s v="Outlier"/>
      </sharedItems>
    </cacheField>
    <cacheField name="Reviews" numFmtId="0">
      <sharedItems containsSemiMixedTypes="0" containsString="0" containsNumber="1" containsInteger="1" minValue="37" maxValue="87841"/>
    </cacheField>
    <cacheField name="Review_Outlier" numFmtId="0">
      <sharedItems/>
    </cacheField>
    <cacheField name="Price" numFmtId="0">
      <sharedItems containsSemiMixedTypes="0" containsString="0" containsNumber="1" containsInteger="1" minValue="0" maxValue="105"/>
    </cacheField>
    <cacheField name="Pricing_outlier" numFmtId="0">
      <sharedItems/>
    </cacheField>
    <cacheField name="Year" numFmtId="0">
      <sharedItems containsSemiMixedTypes="0" containsString="0" containsNumber="1" containsInteger="1" minValue="2009" maxValue="2019" count="11">
        <n v="2016"/>
        <n v="2011"/>
        <n v="2018"/>
        <n v="2017"/>
        <n v="2019"/>
        <n v="2014"/>
        <n v="2010"/>
        <n v="2009"/>
        <n v="2015"/>
        <n v="2013"/>
        <n v="2012"/>
      </sharedItems>
    </cacheField>
    <cacheField name="Book Age" numFmtId="0">
      <sharedItems count="2">
        <s v="Newer"/>
        <s v="Older"/>
      </sharedItems>
    </cacheField>
    <cacheField name="Genre" numFmtId="0">
      <sharedItems count="2">
        <s v="Non Fiction"/>
        <s v="Fiction"/>
      </sharedItems>
    </cacheField>
  </cacheFields>
  <extLst>
    <ext xmlns:x14="http://schemas.microsoft.com/office/spreadsheetml/2009/9/main" uri="{725AE2AE-9491-48be-B2B4-4EB974FC3084}">
      <x14:pivotCacheDefinition pivotCacheId="214329814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62775000001" backgroundQuery="1" createdVersion="7" refreshedVersion="7" minRefreshableVersion="3" recordCount="0" supportSubquery="1" supportAdvancedDrill="1" xr:uid="{00000000-000A-0000-FFFF-FFFFBE000000}">
  <cacheSource type="external" connectionId="2"/>
  <cacheFields count="4">
    <cacheField name="[Table2_2].[Name].[Name]" caption="Name" numFmtId="0" level="1">
      <sharedItems count="10">
        <s v="Gone Girl"/>
        <s v="How to Win Friends &amp; Influence People"/>
        <s v="Oh, the Places You'll Go!"/>
        <s v="The 5 Love Languages: The Secret to Love That Lasts"/>
        <s v="The Fault in Our Stars"/>
        <s v="The Four Agreements: A Practical Guide to Personal Freedom (A Toltec Wisdom Book)"/>
        <s v="The Girl on the Train"/>
        <s v="The Very Hungry Caterpillar"/>
        <s v="To Kill a Mockingbird"/>
        <s v="Unbroken: A World War II Story of Survival, Resilience, and Redemption"/>
      </sharedItems>
    </cacheField>
    <cacheField name="[Table2_2].[Author].[Author]" caption="Author" numFmtId="0" hierarchy="1" level="1">
      <sharedItems count="10">
        <s v="Alice Schertle"/>
        <s v="Bill Martin Jr."/>
        <s v="Chip Gaines"/>
        <s v="Emily Winfield Martin"/>
        <s v="Jill Twiss"/>
        <s v="Lin-Manuel Miranda"/>
        <s v="Nathan W. Pyle"/>
        <s v="Patrick Thorpe"/>
        <s v="Pete Souza"/>
        <s v="Rush Limbaugh"/>
      </sharedItems>
    </cacheField>
    <cacheField name="[Measures].[Average of User_Rating]" caption="Average of User_Rating" numFmtId="0" hierarchy="14" level="32767"/>
    <cacheField name="[Table2_2].[Genre].[Genre]" caption="Genre" numFmtId="0" hierarchy="10"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2" memberValueDatatype="130" unbalanced="0">
      <fieldsUsage count="2">
        <fieldUsage x="-1"/>
        <fieldUsage x="1"/>
      </fieldsUsage>
    </cacheHierarchy>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0"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fieldsUsage count="2">
        <fieldUsage x="-1"/>
        <fieldUsage x="3"/>
      </fieldsUsage>
    </cacheHierarchy>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62775231479" backgroundQuery="1" createdVersion="7" refreshedVersion="7" minRefreshableVersion="3" recordCount="0" supportSubquery="1" supportAdvancedDrill="1" xr:uid="{00000000-000A-0000-FFFF-FFFF90000000}">
  <cacheSource type="external" connectionId="2"/>
  <cacheFields count="2">
    <cacheField name="[Measures].[Average of User_Rating]" caption="Average of User_Rating" numFmtId="0" hierarchy="14" level="32767"/>
    <cacheField name="[Table2_2].[Genre].[Genre]" caption="Genre" numFmtId="0" hierarchy="10"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2" memberValueDatatype="130" unbalanced="0"/>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0"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fieldsUsage count="2">
        <fieldUsage x="-1"/>
        <fieldUsage x="1"/>
      </fieldsUsage>
    </cacheHierarchy>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oneField="1" hidden="1">
      <fieldsUsage count="1">
        <fieldUsage x="0"/>
      </fieldsUsage>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62775578702" backgroundQuery="1" createdVersion="7" refreshedVersion="7" minRefreshableVersion="3" recordCount="0" supportSubquery="1" supportAdvancedDrill="1" xr:uid="{00000000-000A-0000-FFFF-FFFF8D000000}">
  <cacheSource type="external" connectionId="2"/>
  <cacheFields count="3">
    <cacheField name="[Table2_2].[Name].[Name]" caption="Name" numFmtId="0" level="1">
      <sharedItems count="5">
        <s v="Allegiant"/>
        <s v="Fifty Shades of Grey: Book One of the Fifty Shades Trilogy (Fifty Shades of Grey Series)"/>
        <s v="Go Set a Watchman: A Novel"/>
        <s v="The Casual Vacancy"/>
        <s v="The Goldfinch: A Novel (Pulitzer Prize for Fiction)"/>
      </sharedItems>
    </cacheField>
    <cacheField name="[Measures].[Average of User_Rating]" caption="Average of User_Rating" numFmtId="0" hierarchy="14" level="32767"/>
    <cacheField name="[Table2_2].[Genre].[Genre]" caption="Genre" numFmtId="0" hierarchy="10" level="1">
      <sharedItems count="2">
        <s v="Fiction"/>
        <s v="Non Fiction"/>
      </sharedItems>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0"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fieldsUsage count="2">
        <fieldUsage x="-1"/>
        <fieldUsage x="2"/>
      </fieldsUsage>
    </cacheHierarchy>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62775925925" backgroundQuery="1" createdVersion="7" refreshedVersion="7" minRefreshableVersion="3" recordCount="0" supportSubquery="1" supportAdvancedDrill="1" xr:uid="{5012A0BE-6FC3-444F-9C20-80C11D85E770}">
  <cacheSource type="external" connectionId="2"/>
  <cacheFields count="2">
    <cacheField name="[Table2_2].[Name].[Name]" caption="Name" numFmtId="0" level="1">
      <sharedItems count="10">
        <s v="Gone Girl"/>
        <s v="How to Win Friends &amp; Influence People"/>
        <s v="Oh, the Places You'll Go!"/>
        <s v="The 5 Love Languages: The Secret to Love That Lasts"/>
        <s v="The Fault in Our Stars"/>
        <s v="The Four Agreements: A Practical Guide to Personal Freedom (A Toltec Wisdom Book)"/>
        <s v="The Girl on the Train"/>
        <s v="The Very Hungry Caterpillar"/>
        <s v="To Kill a Mockingbird"/>
        <s v="Unbroken: A World War II Story of Survival, Resilience, and Redemption"/>
      </sharedItems>
    </cacheField>
    <cacheField name="[Table2_2].[Genre].[Genre]" caption="Genre" numFmtId="0" hierarchy="10"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0"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fieldsUsage count="2">
        <fieldUsage x="-1"/>
        <fieldUsage x="1"/>
      </fieldsUsage>
    </cacheHierarchy>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hidden="1">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62776851849" backgroundQuery="1" createdVersion="7" refreshedVersion="7" minRefreshableVersion="3" recordCount="0" supportSubquery="1" supportAdvancedDrill="1" xr:uid="{00000000-000A-0000-FFFF-FFFF9C000000}">
  <cacheSource type="external" connectionId="2"/>
  <cacheFields count="6">
    <cacheField name="[Table2_2].[Name].[Name]" caption="Name" numFmtId="0" level="1">
      <sharedItems count="1">
        <s v="The Fault in Our Stars"/>
      </sharedItems>
    </cacheField>
    <cacheField name="[Measures].[Sum of Reviews]" caption="Sum of Reviews" numFmtId="0" hierarchy="15" level="32767"/>
    <cacheField name="[Measures].[Average of User_Rating]" caption="Average of User_Rating" numFmtId="0" hierarchy="14" level="32767"/>
    <cacheField name="[Measures].[Average of Price]" caption="Average of Price" numFmtId="0" hierarchy="18" level="32767"/>
    <cacheField name="[Table2_2].[Genre].[Genre]" caption="Genre" numFmtId="0" hierarchy="10" level="1">
      <sharedItems count="1">
        <s v="Fiction"/>
      </sharedItems>
    </cacheField>
    <cacheField name="[Table2_2].[Author].[Author]" caption="Author" numFmtId="0" hierarchy="1" level="1">
      <sharedItems count="1">
        <s v="John Green"/>
      </sharedItems>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2" memberValueDatatype="130" unbalanced="0">
      <fieldsUsage count="2">
        <fieldUsage x="-1"/>
        <fieldUsage x="5"/>
      </fieldsUsage>
    </cacheHierarchy>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0"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fieldsUsage count="2">
        <fieldUsage x="-1"/>
        <fieldUsage x="4"/>
      </fieldsUsage>
    </cacheHierarchy>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oneField="1" hidden="1">
      <fieldsUsage count="1">
        <fieldUsage x="1"/>
      </fieldsUsage>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oneField="1" hidden="1">
      <fieldsUsage count="1">
        <fieldUsage x="3"/>
      </fieldsUsage>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62778009257" backgroundQuery="1" createdVersion="7" refreshedVersion="7" minRefreshableVersion="3" recordCount="0" supportSubquery="1" supportAdvancedDrill="1" xr:uid="{00000000-000A-0000-FFFF-FFFF8E000000}">
  <cacheSource type="external" connectionId="2"/>
  <cacheFields count="3">
    <cacheField name="[Table2_2].[Name].[Name]" caption="Name" numFmtId="0" level="1">
      <sharedItems count="5">
        <s v="Allegiant"/>
        <s v="Fifty Shades of Grey: Book One of the Fifty Shades Trilogy (Fifty Shades of Grey Series)"/>
        <s v="Go Set a Watchman: A Novel"/>
        <s v="The Casual Vacancy"/>
        <s v="The Goldfinch: A Novel (Pulitzer Prize for Fiction)"/>
      </sharedItems>
    </cacheField>
    <cacheField name="[Measures].[Average of User_Rating]" caption="Average of User_Rating" numFmtId="0" hierarchy="14" level="32767"/>
    <cacheField name="[Table2_2].[Genre].[Genre]" caption="Genre" numFmtId="0" hierarchy="10"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0"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fieldsUsage count="2">
        <fieldUsage x="-1"/>
        <fieldUsage x="2"/>
      </fieldsUsage>
    </cacheHierarchy>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62778819443" backgroundQuery="1" createdVersion="7" refreshedVersion="7" minRefreshableVersion="3" recordCount="0" supportSubquery="1" supportAdvancedDrill="1" xr:uid="{00000000-000A-0000-FFFF-FFFF8F000000}">
  <cacheSource type="external" connectionId="2"/>
  <cacheFields count="3">
    <cacheField name="[Table2_2].[Name].[Name]" caption="Name" numFmtId="0" level="1">
      <sharedItems count="5">
        <s v="Brown Bear, Brown Bear, What Do You See?"/>
        <s v="Dog Man and Cat Kid: From the Creator of Captain Underpants (Dog Man #4)"/>
        <s v="Dog Man: A Tale of Two Kitties: From the Creator of Captain Underpants (Dog Man #3)"/>
        <s v="Dog Man: Brawl of the Wild: From the Creator of Captain Underpants (Dog Man #6)"/>
        <s v="Dog Man: Fetch-22: From the Creator of Captain Underpants (Dog Man #8)"/>
      </sharedItems>
    </cacheField>
    <cacheField name="[Measures].[Average of User_Rating]" caption="Average of User_Rating" numFmtId="0" hierarchy="14" level="32767"/>
    <cacheField name="[Table2_2].[Genre].[Genre]" caption="Genre" numFmtId="0" hierarchy="10"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0"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fieldsUsage count="2">
        <fieldUsage x="-1"/>
        <fieldUsage x="2"/>
      </fieldsUsage>
    </cacheHierarchy>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62779282405" backgroundQuery="1" createdVersion="7" refreshedVersion="7" minRefreshableVersion="3" recordCount="0" supportSubquery="1" supportAdvancedDrill="1" xr:uid="{2BF17063-0942-4FD7-BF73-E4653923832F}">
  <cacheSource type="external" connectionId="2"/>
  <cacheFields count="4">
    <cacheField name="[Table2_2].[Name].[Name]" caption="Name" numFmtId="0" level="1">
      <sharedItems count="1">
        <s v="The Fault in Our Stars"/>
      </sharedItems>
    </cacheField>
    <cacheField name="[Measures].[Average of User_Rating]" caption="Average of User_Rating" numFmtId="0" hierarchy="14" level="32767"/>
    <cacheField name="[Table2_2].[Author].[Author]" caption="Author" numFmtId="0" hierarchy="1" level="1">
      <sharedItems count="10">
        <s v="Alice Schertle"/>
        <s v="Bill Martin Jr."/>
        <s v="Chip Gaines"/>
        <s v="Emily Winfield Martin"/>
        <s v="Jill Twiss"/>
        <s v="Lin-Manuel Miranda"/>
        <s v="Nathan W. Pyle"/>
        <s v="Patrick Thorpe"/>
        <s v="Pete Souza"/>
        <s v="Rush Limbaugh"/>
      </sharedItems>
    </cacheField>
    <cacheField name="[Table2_2].[Genre].[Genre]" caption="Genre" numFmtId="0" hierarchy="10"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2" memberValueDatatype="130" unbalanced="0">
      <fieldsUsage count="2">
        <fieldUsage x="-1"/>
        <fieldUsage x="2"/>
      </fieldsUsage>
    </cacheHierarchy>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0"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fieldsUsage count="2">
        <fieldUsage x="-1"/>
        <fieldUsage x="3"/>
      </fieldsUsage>
    </cacheHierarchy>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7078020833" backgroundQuery="1" createdVersion="7" refreshedVersion="7" minRefreshableVersion="3" recordCount="0" supportSubquery="1" supportAdvancedDrill="1" xr:uid="{0F190E5D-21EE-4A02-ADEF-3621E60BEBB4}">
  <cacheSource type="external" connectionId="2"/>
  <cacheFields count="3">
    <cacheField name="[Table2_2].[Name].[Name]" caption="Name" numFmtId="0" level="1">
      <sharedItems count="10">
        <s v="Gone Girl"/>
        <s v="How to Win Friends &amp; Influence People"/>
        <s v="Oh, the Places You'll Go!"/>
        <s v="The 5 Love Languages: The Secret to Love That Lasts"/>
        <s v="The Fault in Our Stars"/>
        <s v="The Four Agreements: A Practical Guide to Personal Freedom (A Toltec Wisdom Book)"/>
        <s v="The Girl on the Train"/>
        <s v="The Very Hungry Caterpillar"/>
        <s v="To Kill a Mockingbird"/>
        <s v="Unbroken: A World War II Story of Survival, Resilience, and Redemption"/>
      </sharedItems>
    </cacheField>
    <cacheField name="[Table2_2].[Genre].[Genre]" caption="Genre" numFmtId="0" hierarchy="10" level="1">
      <sharedItems count="2">
        <s v="Fiction"/>
        <s v="Non Fiction"/>
      </sharedItems>
    </cacheField>
    <cacheField name="[Measures].[Count of Genre]" caption="Count of Genre" numFmtId="0" hierarchy="19" level="32767"/>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2"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fieldsUsage count="2">
        <fieldUsage x="-1"/>
        <fieldUsage x="1"/>
      </fieldsUsage>
    </cacheHierarchy>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hidden="1">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oneField="1" hidden="1">
      <fieldsUsage count="1">
        <fieldUsage x="2"/>
      </fieldsUsage>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71362268517" backgroundQuery="1" createdVersion="7" refreshedVersion="7" minRefreshableVersion="3" recordCount="0" supportSubquery="1" supportAdvancedDrill="1" xr:uid="{3782976E-17FD-4214-8DCD-D2E42E039D5D}">
  <cacheSource type="external" connectionId="2"/>
  <cacheFields count="4">
    <cacheField name="[Table2_2].[Name].[Name]" caption="Name" numFmtId="0" level="1">
      <sharedItems count="10">
        <s v="Gone Girl"/>
        <s v="How to Win Friends &amp; Influence People"/>
        <s v="Oh, the Places You'll Go!"/>
        <s v="The 5 Love Languages: The Secret to Love That Lasts"/>
        <s v="The Fault in Our Stars"/>
        <s v="The Four Agreements: A Practical Guide to Personal Freedom (A Toltec Wisdom Book)"/>
        <s v="The Girl on the Train"/>
        <s v="The Very Hungry Caterpillar"/>
        <s v="To Kill a Mockingbird"/>
        <s v="Unbroken: A World War II Story of Survival, Resilience, and Redemption"/>
      </sharedItems>
    </cacheField>
    <cacheField name="[Table2_2].[Price].[Price]" caption="Price" numFmtId="0" hierarchy="6" level="1">
      <sharedItems containsSemiMixedTypes="0" containsNonDate="0" containsString="0"/>
    </cacheField>
    <cacheField name="[Table2_2].[Year].[Year]" caption="Year" numFmtId="0" hierarchy="8" level="1">
      <sharedItems containsSemiMixedTypes="0" containsString="0" containsNumber="1" containsInteger="1" minValue="2009" maxValue="2009" count="1">
        <n v="2009"/>
      </sharedItems>
      <extLst>
        <ext xmlns:x15="http://schemas.microsoft.com/office/spreadsheetml/2010/11/main" uri="{4F2E5C28-24EA-4eb8-9CBF-B6C8F9C3D259}">
          <x15:cachedUniqueNames>
            <x15:cachedUniqueName index="0" name="[Table2_2].[Year].&amp;[2009]"/>
          </x15:cachedUniqueNames>
        </ext>
      </extLst>
    </cacheField>
    <cacheField name="[Table2_2].[Reviews].[Reviews]" caption="Reviews" numFmtId="0" hierarchy="4"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2" memberValueDatatype="20" unbalanced="0">
      <fieldsUsage count="2">
        <fieldUsage x="-1"/>
        <fieldUsage x="3"/>
      </fieldsUsage>
    </cacheHierarchy>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2" memberValueDatatype="20" unbalanced="0">
      <fieldsUsage count="2">
        <fieldUsage x="-1"/>
        <fieldUsage x="1"/>
      </fieldsUsage>
    </cacheHierarchy>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2" memberValueDatatype="20" unbalanced="0">
      <fieldsUsage count="2">
        <fieldUsage x="-1"/>
        <fieldUsage x="2"/>
      </fieldsUsage>
    </cacheHierarchy>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hidden="1">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71362962964" backgroundQuery="1" createdVersion="7" refreshedVersion="7" minRefreshableVersion="3" recordCount="0" supportSubquery="1" supportAdvancedDrill="1" xr:uid="{D17466F5-A04B-4B44-AE30-8AE04F8E5FF2}">
  <cacheSource type="external" connectionId="2"/>
  <cacheFields count="3">
    <cacheField name="[Table2_2].[Name].[Name]" caption="Name" numFmtId="0" level="1">
      <sharedItems count="350">
        <s v="10-Day Green Smoothie Cleanse"/>
        <s v="11/22/63: A Novel"/>
        <s v="12 Rules for Life: An Antidote to Chaos"/>
        <s v="1984 (Signet Classics)"/>
        <s v="5,000 Awesome Facts (About Everything!) (National Geographic Kids)"/>
        <s v="A Dance with Dragons (A Song of Ice and Fire)"/>
        <s v="A Game of Thrones / A Clash of Kings / A Storm of Swords / A Feast of Crows / A Dance with Dragons"/>
        <s v="A Gentleman in Moscow: A Novel"/>
        <s v="A Higher Loyalty: Truth, Lies, and Leadership"/>
        <s v="A Man Called Ove: A Novel"/>
        <s v="A Patriot's History of the United States: From Columbus's Great Discovery to the War on Terror"/>
        <s v="A Stolen Life: A Memoir"/>
        <s v="A Wrinkle in Time (Time Quintet)"/>
        <s v="Act Like a Lady, Think Like a Man: What Men Really Think About Love, Relationships, Intimacy, and Commitment"/>
        <s v="Adult Coloring Book Designs: Stress Relief Coloring Book: Garden Designs, Mandalas, Animals, and Paisley Patterns"/>
        <s v="Adult Coloring Book: Stress Relieving Animal Designs"/>
        <s v="Adult Coloring Book: Stress Relieving Patterns"/>
        <s v="Adult Coloring Books: A Coloring Book for Adults Featuring Mandalas and Henna Inspired Flowers, Animals, and Paisleyâ€¦"/>
        <s v="Alexander Hamilton"/>
        <s v="All the Light We Cannot See"/>
        <s v="Allegiant"/>
        <s v="American Sniper: The Autobiography of the Most Lethal Sniper in U.S. Military History"/>
        <s v="And the Mountains Echoed"/>
        <s v="Arguing with Idiots: How to Stop Small Minds and Big Government"/>
        <s v="Astrophysics for People in a Hurry"/>
        <s v="Autobiography of Mark Twain, Vol. 1"/>
        <s v="Baby Touch and Feel: Animals"/>
        <s v="Balance (Angie's Extreme Stress Menders)"/>
        <s v="Barefoot Contessa Foolproof: Recipes You Can Trust: A Cookbook"/>
        <s v="Barefoot Contessa, How Easy Is That?: Fabulous Recipes &amp; Easy Tips"/>
        <s v="Becoming"/>
        <s v="Being Mortal: Medicine and What Matters in the End"/>
        <s v="Between the World and Me"/>
        <s v="Born to Run"/>
        <s v="Breaking Dawn (The Twilight Saga, Book 4)"/>
        <s v="Broke: The Plan to Restore Our Trust, Truth and Treasure"/>
        <s v="Brown Bear, Brown Bear, What Do You See?"/>
        <s v="Cabin Fever (Diary of a Wimpy Kid, Book 6)"/>
        <s v="Calm the F*ck Down: An Irreverent Adult Coloring Book (Irreverent Book Series)"/>
        <s v="Can't Hurt Me: Master Your Mind and Defy the Odds"/>
        <s v="Capital in the Twenty First Century"/>
        <s v="Catching Fire (The Hunger Games)"/>
        <s v="Cravings: Recipes for All the Food You Want to Eat: A Cookbook"/>
        <s v="Crazy Love: Overwhelmed by a Relentless God"/>
        <s v="Crazy Rich Asians (Crazy Rich Asians Trilogy)"/>
        <s v="Creative Haven Creative Cats Coloring Book (Adult Coloring)"/>
        <s v="Creative Haven Owls Coloring Book (Adult Coloring)"/>
        <s v="Cutting for Stone"/>
        <s v="Daring Greatly: How the Courage to Be Vulnerable Transforms the Way We Live, Love, Parent, and Lead"/>
        <s v="David and Goliath: Underdogs, Misfits, and the Art of Battling Giants"/>
        <s v="Dead And Gone: A Sookie Stackhouse Novel (Sookie Stackhouse/True Blood)"/>
        <s v="Dead in the Family (Sookie Stackhouse/True Blood, Book 10)"/>
        <s v="Dead Reckoning (Sookie Stackhouse/True Blood, Book 11)"/>
        <s v="Dear Zoo: A Lift-the-Flap Book"/>
        <s v="Decision Points"/>
        <s v="Delivering Happiness: A Path to Profits, Passion, and Purpose"/>
        <s v="Diagnostic and Statistical Manual of Mental Disorders, 5th Edition: DSM-5"/>
        <s v="Diary of a Wimpy Kid: Hard Luck, Book 8"/>
        <s v="Diary of a Wimpy Kid: The Last Straw (Book 3)"/>
        <s v="Diary of a Wimpy Kid: The Long Haul"/>
        <s v="Difficult Riddles For Smart Kids: 300 Difficult Riddles And Brain Teasers Families Will Love (Books for Smart Kids)"/>
        <s v="Divergent"/>
        <s v="Divergent / Insurgent"/>
        <s v="Divine Soul Mind Body Healing and Transmission System: The Divine Way to Heal You, Humanity, Mother Earth, and Allâ€¦"/>
        <s v="Doctor Sleep: A Novel"/>
        <s v="Dog Days (Diary of a Wimpy Kid, Book 4) (Volume 4)"/>
        <s v="Dog Man and Cat Kid: From the Creator of Captain Underpants (Dog Man #4)"/>
        <s v="Dog Man: A Tale of Two Kitties: From the Creator of Captain Underpants (Dog Man #3)"/>
        <s v="Dog Man: Brawl of the Wild: From the Creator of Captain Underpants (Dog Man #6)"/>
        <s v="Dog Man: Fetch-22: From the Creator of Captain Underpants (Dog Man #8)"/>
        <s v="Dog Man: For Whom the Ball Rolls: From the Creator of Captain Underpants (Dog Man #7)"/>
        <s v="Dog Man: Lord of the Fleas: From the Creator of Captain Underpants (Dog Man #5)"/>
        <s v="Double Down (Diary of a Wimpy Kid #11)"/>
        <s v="Dover Creative Haven Art Nouveau Animal Designs Coloring Book (Creative Haven Coloring Books)"/>
        <s v="Drive: The Surprising Truth About What Motivates Us"/>
        <s v="Eat This Not That! Supermarket Survival Guide: The No-Diet Weight Loss Solution"/>
        <s v="Eat This, Not That! Thousands of Simple Food Swaps that Can Save You 10, 20, 30 Pounds--or More!"/>
        <s v="Eat to Live: The Amazing Nutrient-Rich Program for Fast and Sustained Weight Loss, Revised Edition"/>
        <s v="Eclipse (Twilight Sagas)"/>
        <s v="Eclipse (Twilight)"/>
        <s v="Educated: A Memoir"/>
        <s v="Enchanted Forest: An Inky Quest and Coloring book (Activity Books, Mindfulness and Meditation, Illustrated Floral Printsâ€¦"/>
        <s v="Fahrenheit 451"/>
        <s v="Fantastic Beasts and Where to Find Them: The Original Screenplay (Harry Potter)"/>
        <s v="Fear: Trump in the White House"/>
        <s v="Fifty Shades Darker"/>
        <s v="Fifty Shades Freed: Book Three of the Fifty Shades Trilogy (Fifty Shades of Grey Series) (English Edition)"/>
        <s v="Fifty Shades of Grey: Book One of the Fifty Shades Trilogy (Fifty Shades of Grey Series)"/>
        <s v="Fifty Shades Trilogy (Fifty Shades of Grey / Fifty Shades Darker / Fifty Shades Freed)"/>
        <s v="Fire and Fury: Inside the Trump White House"/>
        <s v="First 100 Words"/>
        <s v="Food Rules: An Eater's Manual"/>
        <s v="Frozen (Little Golden Book)"/>
        <s v="Game Change: Obama and the Clintons, McCain and Palin, and the Race of a Lifetime"/>
        <s v="Game of Thrones Boxed Set: A Game of Thrones/A Clash of Kings/A Storm of Swords/A Feast for Crows"/>
        <s v="George Washington's Sacred Fire"/>
        <s v="George Washington's Secret Six: The Spy Ring That Saved the American Revolution"/>
        <s v="Giraffes Can't Dance"/>
        <s v="Girl, Stop Apologizing: A Shame-Free Plan for Embracing and Achieving Your Goals"/>
        <s v="Girl, Wash Your Face: Stop Believing the Lies About Who You Are So You Can Become Who You Were Meant to Be"/>
        <s v="Glenn Beck's Common Sense: The Case Against an Out-of-Control Government, Inspired by Thomas Paine"/>
        <s v="Go Set a Watchman: A Novel"/>
        <s v="Go the F**k to Sleep"/>
        <s v="Going Rogue: An American Life"/>
        <s v="Gone Girl"/>
        <s v="Good Days Start With Gratitude: A 52 Week Guide To Cultivate An Attitude Of Gratitude: Gratitude Journal"/>
        <s v="Good to Great: Why Some Companies Make the Leap and Others Don't"/>
        <s v="Goodnight Moon"/>
        <s v="Goodnight, Goodnight Construction Site (Hardcover Books for Toddlers, Preschool Books for Kids)"/>
        <s v="Grain Brain: The Surprising Truth about Wheat, Carbs, and Sugar--Your Brain's Silent Killers"/>
        <s v="Grey: Fifty Shades of Grey as Told by Christian (Fifty Shades of Grey Series)"/>
        <s v="Guts"/>
        <s v="Hamilton: The Revolution"/>
        <s v="Happy, Happy, Happy: My Life and Legacy as the Duck Commander"/>
        <s v="Harry Potter and the Chamber of Secrets: The Illustrated Edition (Harry Potter, Book 2)"/>
        <s v="Harry Potter and the Cursed Child, Parts 1 &amp; 2, Special Rehearsal Edition Script"/>
        <s v="Harry Potter and the Goblet of Fire: The Illustrated Edition (Harry Potter, Book 4) (4)"/>
        <s v="Harry Potter and the Prisoner of Azkaban: The Illustrated Edition (Harry Potter, Book 3)"/>
        <s v="Harry Potter and the Sorcerer's Stone: The Illustrated Edition (Harry Potter, Book 1)"/>
        <s v="Harry Potter Coloring Book"/>
        <s v="Harry Potter Paperback Box Set (Books 1-7)"/>
        <s v="Have a Little Faith: A True Story"/>
        <s v="Heaven is for Real: A Little Boy's Astounding Story of His Trip to Heaven and Back"/>
        <s v="Hillbilly Elegy: A Memoir of a Family and Culture in Crisis"/>
        <s v="Homebody: A Guide to Creating Spaces You Never Want to Leave"/>
        <s v="How to Win Friends &amp; Influence People"/>
        <s v="Howard Stern Comes Again"/>
        <s v="Humans of New York"/>
        <s v="Humans of New York : Stories"/>
        <s v="Hyperbole and a Half: Unfortunate Situations, Flawed Coping Mechanisms, Mayhem, and Other Things That Happened"/>
        <s v="I Am Confident, Brave &amp; Beautiful: A Coloring Book for Girls"/>
        <s v="I, Alex Cross"/>
        <s v="If Animals Kissed Good Night"/>
        <s v="If I Stay"/>
        <s v="In the Garden of Beasts: Love, Terror, and an American Family in Hitler's Berlin"/>
        <s v="Inferno"/>
        <s v="Inheritance: Book IV (Inheritance Cycle)"/>
        <s v="Instant Pot Pressure Cooker Cookbook: 500 Everyday Recipes for Beginners and Advanced Users. Try Easy and Healthyâ€¦"/>
        <s v="It's Not Supposed to Be This Way: Finding Unexpected Strength When Disappointments Leave You Shattered"/>
        <s v="Jesus Calling: Enjoying Peace in His Presence (with Scripture References)"/>
        <s v="JOURNEY TO THE ICE P"/>
        <s v="Joyland (Hard Case Crime)"/>
        <s v="Killers of the Flower Moon: The Osage Murders and the Birth of the FBI"/>
        <s v="Killing Jesus (Bill O'Reilly's Killing Series)"/>
        <s v="Killing Kennedy: The End of Camelot"/>
        <s v="Killing Lincoln: The Shocking Assassination that Changed America Forever (Bill O'Reilly's Killing Series)"/>
        <s v="Killing Patton: The Strange Death of World War II's Most Audacious General (Bill O'Reilly's Killing Series)"/>
        <s v="Killing Reagan: The Violent Assault That Changed a Presidency (Bill O'Reilly's Killing Series)"/>
        <s v="Killing the Rising Sun: How America Vanquished World War II Japan (Bill O'Reilly's Killing Series)"/>
        <s v="Kitchen Confidential Updated Edition: Adventures in the Culinary Underbelly (P.S.)"/>
        <s v="Knock-Knock Jokes for Kids"/>
        <s v="Last Week Tonight with John Oliver Presents A Day in the Life of Marlon Bundo (Better Bundo Book, LGBT ChildrenÂ’s Book)"/>
        <s v="Laugh-Out-Loud Jokes for Kids"/>
        <s v="Lean In: Women, Work, and the Will to Lead"/>
        <s v="Leonardo da Vinci"/>
        <s v="Lettering and Modern Calligraphy: A Beginner's Guide: Learn Hand Lettering and Brush Lettering"/>
        <s v="Liberty and Tyranny: A Conservative Manifesto"/>
        <s v="Life"/>
        <s v="Little Bee: A Novel"/>
        <s v="Little Blue Truck"/>
        <s v="Little Fires Everywhere"/>
        <s v="Looking for Alaska"/>
        <s v="Love Wins: A Book About Heaven, Hell, and the Fate of Every Person Who Ever Lived"/>
        <s v="Love You Forever"/>
        <s v="Magnolia Table: A Collection of Recipes for Gathering"/>
        <s v="Make It Ahead: A Barefoot Contessa Cookbook"/>
        <s v="Make Your Bed: Little Things That Can Change Your Life...And Maybe the World"/>
        <s v="Mastering the Art of French Cooking, Vol. 2"/>
        <s v="Milk and Honey"/>
        <s v="Milk and Vine: Inspirational Quotes From Classic Vines"/>
        <s v="Mindset: The New Psychology of Success"/>
        <s v="Mockingjay (The Hunger Games)"/>
        <s v="National Geographic Kids Why?: Over 1,111 Answers to Everything"/>
        <s v="National Geographic Little Kids First Big Book of Why (National Geographic Little Kids First Big Books)"/>
        <s v="New Moon (The Twilight Saga)"/>
        <s v="Night (Night)"/>
        <s v="No Easy Day: The Autobiography of a Navy Seal: The Firsthand Account of the Mission That Killed Osama Bin Laden"/>
        <s v="Obama: An Intimate Portrait"/>
        <s v="Oh, the Places You'll Go!"/>
        <s v="Old School (Diary of a Wimpy Kid #10)"/>
        <s v="Olive Kitteridge"/>
        <s v="One Thousand Gifts: A Dare to Live Fully Right Where You Are"/>
        <s v="Option B: Facing Adversity, Building Resilience, and Finding Joy"/>
        <s v="Origin: A Novel (Robert Langdon)"/>
        <s v="Orphan Train"/>
        <s v="Outliers: The Story of Success"/>
        <s v="P is for Potty! (Sesame Street) (Lift-the-Flap)"/>
        <s v="Percy Jackson and the Olympians Paperback Boxed Set (Books 1-3)"/>
        <s v="Player's Handbook (Dungeons &amp; Dragons)"/>
        <s v="PokÃ©mon Deluxe Essential Handbook: The Need-to-Know Stats and Facts on Over 700 PokÃ©mon"/>
        <s v="Proof of Heaven: A Neurosurgeon's Journey into the Afterlife"/>
        <s v="Publication Manual of the American Psychological Association, 6th Edition"/>
        <s v="Puppy Birthday to You! (Paw Patrol) (Little Golden Book)"/>
        <s v="Quiet: The Power of Introverts in a World That Can't Stop Talking"/>
        <s v="Radical: Taking Back Your Faith from the American Dream"/>
        <s v="Ready Player One: A Novel"/>
        <s v="Rush Revere and the Brave Pilgrims: Time-Travel Adventures with Exceptional Americans (1)"/>
        <s v="Rush Revere and the First Patriots: Time-Travel Adventures With Exceptional Americans (2)"/>
        <s v="Salt, Fat, Acid, Heat: Mastering the Elements of Good Cooking"/>
        <s v="Sarah's Key"/>
        <s v="School Zone - Big Preschool Workbook - Ages 4 and Up, Colors, Shapes, Numbers 1-10, Alphabet, Pre-Writing, Pre-Readingâ€¦"/>
        <s v="Secret Garden: An Inky Treasure Hunt and Coloring Book (For Adults, mindfulness coloring)"/>
        <s v="Sh*t My Dad Says"/>
        <s v="Ship of Fools: How a Selfish Ruling Class Is Bringing America to the Brink of Revolution"/>
        <s v="Shred: The Revolutionary Diet: 6 Weeks 4 Inches 2 Sizes"/>
        <s v="Sookie Stackhouse"/>
        <s v="Soul Healing Miracles: Ancient and New Sacred Wisdom, Knowledge, and Practical Techniques for Healing the Spiritualâ€¦"/>
        <s v="Steve Jobs"/>
        <s v="Strange Planet (Strange Planet Series)"/>
        <s v="StrengthsFinder 2.0"/>
        <s v="Super Freakonomics: Global Cooling, Patriotic Prostitutes, and Why Suicide Bombers Should Buy Life Insurance"/>
        <s v="Switch: How to Change Things When Change Is Hard"/>
        <s v="Sycamore Row (Jake Brigance)"/>
        <s v="Teach Like a Champion: 49 Techniques that Put Students on the Path to College"/>
        <s v="The 17 Day Diet: A Doctor's Plan Designed for Rapid Results"/>
        <s v="The 4 Hour Body: An Uncommon Guide to Rapid Fat Loss, Incredible Sex and Becoming Superhuman"/>
        <s v="The 5 Love Languages: The Secret to Love That Lasts"/>
        <s v="The 5000 Year Leap"/>
        <s v="The 7 Habits of Highly Effective People: Powerful Lessons in Personal Change"/>
        <s v="The Alchemist"/>
        <s v="The Amateur"/>
        <s v="The Art of Racing in the Rain: A Novel"/>
        <s v="The Big Short: Inside the Doomsday Machine"/>
        <s v="The Blood of Olympus (The Heroes of Olympus (5))"/>
        <s v="The Blood Sugar Solution: The UltraHealthy Program for Losing Weight, Preventing Disease, and Feeling Great Now!"/>
        <s v="The Body Keeps the Score: Brain, Mind, and Body in the Healing of Trauma"/>
        <s v="The Book of Basketball: The NBA According to The Sports Guy"/>
        <s v="The Book Thief"/>
        <s v="The Book with No Pictures"/>
        <s v="The Boys in the Boat: Nine Americans and Their Epic Quest for Gold at the 1936 Berlin Olympics"/>
        <s v="The Casual Vacancy"/>
        <s v="The China Study: The Most Comprehensive Study of Nutrition Ever Conducted And the Startling Implications for Dietâ€¦"/>
        <s v="The Complete Ketogenic Diet for Beginners: Your Essential Guide to Living the Keto Lifestyle"/>
        <s v="The Confession: A Novel"/>
        <s v="The Constitution of the United States"/>
        <s v="The Daily Show with Jon Stewart Presents Earth (The Book): A Visitor's Guide to the Human Race"/>
        <s v="The Day the Crayons Quit"/>
        <s v="The Dukan Diet: 2 Steps to Lose the Weight, 2 Steps to Keep It Off Forever"/>
        <s v="The Elegance of the Hedgehog"/>
        <s v="The Fault in Our Stars"/>
        <s v="The Five Dysfunctions of a Team: A Leadership Fable"/>
        <s v="The Five Love Languages: How to Express Heartfelt Commitment to Your Mate"/>
        <s v="The Four Agreements: A Practical Guide to Personal Freedom (A Toltec Wisdom Book)"/>
        <s v="The Getaway"/>
        <s v="The Girl on the Train"/>
        <s v="The Girl Who Kicked the Hornet's Nest (Millennium Trilogy)"/>
        <s v="The Girl Who Played with Fire (Millennium Series)"/>
        <s v="The Girl Who Played with Fire (Millennium)"/>
        <s v="The Girl with the Dragon Tattoo (Millennium Series)"/>
        <s v="The Going-To-Bed Book"/>
        <s v="The Goldfinch: A Novel (Pulitzer Prize for Fiction)"/>
        <s v="The Great Gatsby"/>
        <s v="The Guardians: A Novel"/>
        <s v="The Guernsey Literary and Potato Peel Pie Society"/>
        <s v="The Handmaid's Tale"/>
        <s v="The Harbinger: The Ancient Mystery that Holds the Secret of America's Future"/>
        <s v="The Hate U Give"/>
        <s v="The Help"/>
        <s v="The House of Hades (Heroes of Olympus, Book 4)"/>
        <s v="The Hunger Games"/>
        <s v="The Hunger Games (Book 1)"/>
        <s v="The Hunger Games Trilogy Boxed Set (1)"/>
        <s v="The Immortal Life of Henrietta Lacks"/>
        <s v="The Instant Pot Electric Pressure Cooker Cookbook: Easy Recipes for Fast &amp; Healthy Meals"/>
        <s v="The Last Lecture"/>
        <s v="The Last Olympian (Percy Jackson and the Olympians, Book 5)"/>
        <s v="The Legend of Zelda: Hyrule Historia"/>
        <s v="The Lego Ideas Book: Unlock Your Imagination"/>
        <s v="The Life-Changing Magic of Tidying Up: The Japanese Art of Decluttering and Organizing"/>
        <s v="The Litigators"/>
        <s v="The Lost Hero (Heroes of Olympus, Book 1)"/>
        <s v="The Lost Symbol"/>
        <s v="The Love Dare"/>
        <s v="The Magnolia Story"/>
        <s v="The Mark of Athena (Heroes of Olympus, Book 3)"/>
        <s v="The Martian"/>
        <s v="The Maze Runner (Book 1)"/>
        <s v="The Meltdown (Diary of a Wimpy Kid Book 13)"/>
        <s v="The Mueller Report"/>
        <s v="The Nightingale: A Novel"/>
        <s v="The Official SAT Study Guide"/>
        <s v="The Official SAT Study Guide, 2016 Edition (Official Study Guide for the New Sat)"/>
        <s v="The Paris Wife: A Novel"/>
        <s v="The Pioneer Woman Cooks: A Year of Holidays: 140 Step-by-Step Recipes for Simple, Scrumptious Celebrations"/>
        <s v="The Pioneer Woman Cooks: Dinnertime - Comfort Classics, Freezer Food, 16-minute Meals, and Other Delicious Ways to Solveâ€¦"/>
        <s v="The Pioneer Woman Cooks: Food from My Frontier"/>
        <s v="The Plant Paradox Cookbook: 100 Delicious Recipes to Help You Lose Weight, Heal Your Gut, and Live Lectin-Free"/>
        <s v="The Plant Paradox: The Hidden Dangers in &quot;Healthy&quot; Foods That Cause Disease and Weight Gain"/>
        <s v="The Pout-Pout Fish"/>
        <s v="The Power of Habit: Why We Do What We Do in Life and Business"/>
        <s v="The President Is Missing: A Novel"/>
        <s v="The Racketeer"/>
        <s v="The Red Pyramid (The Kane Chronicles, Book 1)"/>
        <s v="The Road to Serfdom: Text and Documents--The Definitive Edition (The Collected Works of F. A. Hayek, Volume 2)"/>
        <s v="The Serpent's Shadow (The Kane Chronicles, Book 3)"/>
        <s v="The Shack: Where Tragedy Confronts Eternity"/>
        <s v="The Short Second Life of Bree Tanner: An Eclipse Novella (The Twilight Saga)"/>
        <s v="The Silent Patient"/>
        <s v="The Son of Neptune (Heroes of Olympus, Book 2)"/>
        <s v="The Subtle Art of Not Giving a F*ck: A Counterintuitive Approach to Living a Good Life"/>
        <s v="The Sun and Her Flowers"/>
        <s v="The Third Wheel (Diary of a Wimpy Kid, Book 7)"/>
        <s v="The Throne of Fire (The Kane Chronicles, Book 2)"/>
        <s v="The Time Traveler's Wife"/>
        <s v="The Tipping Point: How Little Things Can Make a Big Difference"/>
        <s v="The Total Money Makeover: Classic Edition: A Proven Plan for Financial Fitness"/>
        <s v="The Twilight Saga Collection"/>
        <s v="The Ugly Truth (Diary of a Wimpy Kid, Book 5)"/>
        <s v="The Unofficial Harry Potter Cookbook: From Cauldron Cakes to Knickerbocker Glory--More Than 150 Magical Recipes forâ€¦"/>
        <s v="The Very Hungry Caterpillar"/>
        <s v="The Whole30: The 30-Day Guide to Total Health and Food Freedom"/>
        <s v="The Wonderful Things You Will Be"/>
        <s v="The Wonky Donkey"/>
        <s v="The Wright Brothers"/>
        <s v="Things That Matter: Three Decades of Passions, Pastimes and Politics [Deckled Edge]"/>
        <s v="Thinking, Fast and Slow"/>
        <s v="Thirteen Reasons Why"/>
        <s v="Thomas Jefferson: The Art of Power"/>
        <s v="Three Cups of Tea: One Man's Mission to Promote Peace - One School at a Time"/>
        <s v="Thug Kitchen: The Official Cookbook: Eat Like You Give a F*ck (Thug Kitchen Cookbooks)"/>
        <s v="Tina Fey: Bossypants"/>
        <s v="To Kill a Mockingbird"/>
        <s v="Tools of Titans: The Tactics, Routines, and Habits of Billionaires, Icons, and World-Class Performers"/>
        <s v="Towers of Midnight (Wheel of Time, Book Thirteen)"/>
        <s v="True Compass: A Memoir"/>
        <s v="Twilight (The Twilight Saga, Book 1)"/>
        <s v="Ultimate Sticker Book: Frozen: More Than 60 Reusable Full-Color Stickers"/>
        <s v="Unbroken: A World War II Story of Survival, Resilience, and Redemption"/>
        <s v="Under the Dome: A Novel"/>
        <s v="Unfreedom of the Press"/>
        <s v="Unicorn Coloring Book: For Kids Ages 4-8 (US Edition) (Silly Bear Coloring Books)"/>
        <s v="Uninvited: Living Loved When You Feel Less Than, Left Out, and Lonely"/>
        <s v="Watchmen"/>
        <s v="Water for Elephants: A Novel"/>
        <s v="What Happened"/>
        <s v="What If?: Serious Scientific Answers to Absurd Hypothetical Questions"/>
        <s v="What Pet Should I Get? (Classic Seuss)"/>
        <s v="What Should Danny Do? (The Power to Choose Series)"/>
        <s v="What to Expect When You're Expecting"/>
        <s v="Wheat Belly: Lose the Wheat, Lose the Weight, and Find Your Path Back to Health"/>
        <s v="When Breath Becomes Air"/>
        <s v="Where the Crawdads Sing"/>
        <s v="Where the Wild Things Are"/>
        <s v="Whose Boat Is This Boat?: Comments That Don't Help in the Aftermath of a Hurricane"/>
        <s v="Wild: From Lost to Found on the Pacific Crest Trail"/>
        <s v="Winter of the World: Book Two of the Century Trilogy"/>
        <s v="Women Food and God: An Unexpected Path to Almost Everything"/>
        <s v="Wonder"/>
        <s v="Wrecking Ball (Diary of a Wimpy Kid Book 14)"/>
        <s v="You Are a Badass: How to Stop Doubting Your Greatness and Start Living an Awesome Life"/>
      </sharedItems>
    </cacheField>
    <cacheField name="[Measures].[Sum of Reviews]" caption="Sum of Reviews" numFmtId="0" hierarchy="15" level="32767"/>
    <cacheField name="[Table2_2].[Reviews].[Reviews]" caption="Reviews" numFmtId="0" hierarchy="4"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2" memberValueDatatype="130" unbalanced="0"/>
    <cacheHierarchy uniqueName="[Table2_2].[User_Rating]" caption="User_Rating" attribute="1" defaultMemberUniqueName="[Table2_2].[User_Rating].[All]" allUniqueName="[Table2_2].[User_Rating].[All]" dimensionUniqueName="[Table2_2]" displayFolder="" count="2" memberValueDatatype="5" unbalanced="0"/>
    <cacheHierarchy uniqueName="[Table2_2].[User_Rating_outlier]" caption="User_Rating_outlier" attribute="1" defaultMemberUniqueName="[Table2_2].[User_Rating_outlier].[All]" allUniqueName="[Table2_2].[User_Rating_outlier].[All]" dimensionUniqueName="[Table2_2]" displayFolder="" count="2" memberValueDatatype="130" unbalanced="0"/>
    <cacheHierarchy uniqueName="[Table2_2].[Reviews]" caption="Reviews" attribute="1" defaultMemberUniqueName="[Table2_2].[Reviews].[All]" allUniqueName="[Table2_2].[Reviews].[All]" dimensionUniqueName="[Table2_2]" displayFolder="" count="2" memberValueDatatype="20" unbalanced="0">
      <fieldsUsage count="2">
        <fieldUsage x="-1"/>
        <fieldUsage x="2"/>
      </fieldsUsage>
    </cacheHierarchy>
    <cacheHierarchy uniqueName="[Table2_2].[Review_Outlier]" caption="Review_Outlier" attribute="1" defaultMemberUniqueName="[Table2_2].[Review_Outlier].[All]" allUniqueName="[Table2_2].[Review_Outlier].[All]" dimensionUniqueName="[Table2_2]" displayFolder="" count="2" memberValueDatatype="130" unbalanced="0"/>
    <cacheHierarchy uniqueName="[Table2_2].[Price]" caption="Price" attribute="1" defaultMemberUniqueName="[Table2_2].[Price].[All]" allUniqueName="[Table2_2].[Price].[All]" dimensionUniqueName="[Table2_2]" displayFolder="" count="2" memberValueDatatype="20" unbalanced="0"/>
    <cacheHierarchy uniqueName="[Table2_2].[Pricing_outlier]" caption="Pricing_outlier" attribute="1" defaultMemberUniqueName="[Table2_2].[Pricing_outlier].[All]" allUniqueName="[Table2_2].[Pricing_outlier].[All]" dimensionUniqueName="[Table2_2]" displayFolder="" count="2" memberValueDatatype="130" unbalanced="0"/>
    <cacheHierarchy uniqueName="[Table2_2].[Year]" caption="Year" attribute="1" defaultMemberUniqueName="[Table2_2].[Year].[All]" allUniqueName="[Table2_2].[Year].[All]" dimensionUniqueName="[Table2_2]" displayFolder="" count="2" memberValueDatatype="20" unbalanced="0"/>
    <cacheHierarchy uniqueName="[Table2_2].[Book Age]" caption="Book Age" attribute="1" defaultMemberUniqueName="[Table2_2].[Book Age].[All]" allUniqueName="[Table2_2].[Book Age].[All]" dimensionUniqueName="[Table2_2]" displayFolder="" count="2" memberValueDatatype="130" unbalanced="0"/>
    <cacheHierarchy uniqueName="[Table2_2].[Genre]" caption="Genre" attribute="1" defaultMemberUniqueName="[Table2_2].[Genre].[All]" allUniqueName="[Table2_2].[Genre].[All]" dimensionUniqueName="[Table2_2]" displayFolder="" count="2" memberValueDatatype="130" unbalanced="0"/>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hidden="1">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oneField="1" hidden="1">
      <fieldsUsage count="1">
        <fieldUsage x="1"/>
      </fieldsUsage>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71363773149" backgroundQuery="1" createdVersion="7" refreshedVersion="7" minRefreshableVersion="3" recordCount="0" supportSubquery="1" supportAdvancedDrill="1" xr:uid="{00000000-000A-0000-FFFF-FFFF8C000000}">
  <cacheSource type="external" connectionId="2"/>
  <cacheFields count="3">
    <cacheField name="[Table2_2].[Name].[Name]" caption="Name" numFmtId="0" level="1">
      <sharedItems count="10">
        <s v="Allegiant"/>
        <s v="Fifty Shades of Grey: Book One of the Fifty Shades Trilogy (Fifty Shades of Grey Series)"/>
        <s v="Go Set a Watchman: A Novel"/>
        <s v="Gone Girl"/>
        <s v="Harry Potter and the Cursed Child, Parts 1 &amp; 2, Special Rehearsal Edition Script"/>
        <s v="StrengthsFinder 2.0"/>
        <s v="The Casual Vacancy"/>
        <s v="The Elegance of the Hedgehog"/>
        <s v="The Girl on the Train"/>
        <s v="The Goldfinch: A Novel (Pulitzer Prize for Fiction)"/>
      </sharedItems>
    </cacheField>
    <cacheField name="[Measures].[Sum of Reviews]" caption="Sum of Reviews" numFmtId="0" hierarchy="15" level="32767"/>
    <cacheField name="[Table2_2].[Reviews].[Reviews]" caption="Reviews" numFmtId="0" hierarchy="4"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2" memberValueDatatype="20" unbalanced="0">
      <fieldsUsage count="2">
        <fieldUsage x="-1"/>
        <fieldUsage x="2"/>
      </fieldsUsage>
    </cacheHierarchy>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hidden="1">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oneField="1" hidden="1">
      <fieldsUsage count="1">
        <fieldUsage x="1"/>
      </fieldsUsage>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71363888888" backgroundQuery="1" createdVersion="7" refreshedVersion="7" minRefreshableVersion="3" recordCount="0" supportSubquery="1" supportAdvancedDrill="1" xr:uid="{10BDD554-7CC4-4964-A756-E54E4BF9F604}">
  <cacheSource type="external" connectionId="2"/>
  <cacheFields count="2">
    <cacheField name="[Table2_2].[Name].[Name]" caption="Name" numFmtId="0" level="1">
      <sharedItems count="10">
        <s v="Gone Girl"/>
        <s v="How to Win Friends &amp; Influence People"/>
        <s v="Oh, the Places You'll Go!"/>
        <s v="The 5 Love Languages: The Secret to Love That Lasts"/>
        <s v="The Fault in Our Stars"/>
        <s v="The Four Agreements: A Practical Guide to Personal Freedom (A Toltec Wisdom Book)"/>
        <s v="The Girl on the Train"/>
        <s v="The Very Hungry Caterpillar"/>
        <s v="To Kill a Mockingbird"/>
        <s v="Unbroken: A World War II Story of Survival, Resilience, and Redemption"/>
      </sharedItems>
    </cacheField>
    <cacheField name="[Table2_2].[Reviews].[Reviews]" caption="Reviews" numFmtId="0" hierarchy="4"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2" memberValueDatatype="130" unbalanced="0">
      <fieldsUsage count="2">
        <fieldUsage x="-1"/>
        <fieldUsage x="0"/>
      </fieldsUsage>
    </cacheHierarchy>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2" memberValueDatatype="20" unbalanced="0">
      <fieldsUsage count="2">
        <fieldUsage x="-1"/>
        <fieldUsage x="1"/>
      </fieldsUsage>
    </cacheHierarchy>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hidden="1">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64.371364004626" backgroundQuery="1" createdVersion="7" refreshedVersion="7" minRefreshableVersion="3" recordCount="0" supportSubquery="1" supportAdvancedDrill="1" xr:uid="{9938C57B-7F4C-4AAD-80F9-9E764911FD39}">
  <cacheSource type="external" connectionId="2"/>
  <cacheFields count="2">
    <cacheField name="[Measures].[Sum of Reviews]" caption="Sum of Reviews" numFmtId="0" hierarchy="15" level="32767"/>
    <cacheField name="[Table2_2].[Reviews].[Reviews]" caption="Reviews" numFmtId="0" hierarchy="4" level="1">
      <sharedItems containsSemiMixedTypes="0" containsNonDate="0" containsString="0"/>
    </cacheField>
  </cacheFields>
  <cacheHierarchies count="22">
    <cacheHierarchy uniqueName="[Table2_2].[Name]" caption="Name" attribute="1" defaultMemberUniqueName="[Table2_2].[Name].[All]" allUniqueName="[Table2_2].[Name].[All]" dimensionUniqueName="[Table2_2]" displayFolder="" count="0" memberValueDatatype="130" unbalanced="0"/>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2" memberValueDatatype="20" unbalanced="0">
      <fieldsUsage count="2">
        <fieldUsage x="-1"/>
        <fieldUsage x="1"/>
      </fieldsUsage>
    </cacheHierarchy>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hidden="1">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oneField="1" hidden="1">
      <fieldsUsage count="1">
        <fieldUsage x="0"/>
      </fieldsUsage>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Table2_2" uniqueName="[Table2_2]" caption="Table2_2"/>
  </dimensions>
  <measureGroups count="1">
    <measureGroup name="Table2_2" caption="Table2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832.995962847221" backgroundQuery="1" createdVersion="3" refreshedVersion="7" minRefreshableVersion="3" recordCount="0" supportSubquery="1" supportAdvancedDrill="1" xr:uid="{F314B417-E9A9-4DBE-8E48-81A19A41904A}">
  <cacheSource type="external" connectionId="2">
    <extLst>
      <ext xmlns:x14="http://schemas.microsoft.com/office/spreadsheetml/2009/9/main" uri="{F057638F-6D5F-4e77-A914-E7F072B9BCA8}">
        <x14:sourceConnection name="ThisWorkbookDataModel"/>
      </ext>
    </extLst>
  </cacheSource>
  <cacheFields count="0"/>
  <cacheHierarchies count="22">
    <cacheHierarchy uniqueName="[Table2_2].[Name]" caption="Name" attribute="1" defaultMemberUniqueName="[Table2_2].[Name].[All]" allUniqueName="[Table2_2].[Name].[All]" dimensionUniqueName="[Table2_2]" displayFolder="" count="2" memberValueDatatype="130" unbalanced="0"/>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2"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2"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0" memberValueDatatype="130" unbalanced="0"/>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hidden="1">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228312572"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832.995975810183" backgroundQuery="1" createdVersion="3" refreshedVersion="7" minRefreshableVersion="3" recordCount="0" supportSubquery="1" supportAdvancedDrill="1" xr:uid="{468DAA27-C01B-4F03-8B7B-3A8A8BCB341A}">
  <cacheSource type="external" connectionId="2">
    <extLst>
      <ext xmlns:x14="http://schemas.microsoft.com/office/spreadsheetml/2009/9/main" uri="{F057638F-6D5F-4e77-A914-E7F072B9BCA8}">
        <x14:sourceConnection name="ThisWorkbookDataModel"/>
      </ext>
    </extLst>
  </cacheSource>
  <cacheFields count="0"/>
  <cacheHierarchies count="22">
    <cacheHierarchy uniqueName="[Table2_2].[Name]" caption="Name" attribute="1" defaultMemberUniqueName="[Table2_2].[Name].[All]" allUniqueName="[Table2_2].[Name].[All]" dimensionUniqueName="[Table2_2]" displayFolder="" count="0" memberValueDatatype="130" unbalanced="0"/>
    <cacheHierarchy uniqueName="[Table2_2].[Author]" caption="Author" attribute="1" defaultMemberUniqueName="[Table2_2].[Author].[All]" allUniqueName="[Table2_2].[Author].[All]" dimensionUniqueName="[Table2_2]" displayFolder="" count="0" memberValueDatatype="130" unbalanced="0"/>
    <cacheHierarchy uniqueName="[Table2_2].[User_Rating]" caption="User_Rating" attribute="1" defaultMemberUniqueName="[Table2_2].[User_Rating].[All]" allUniqueName="[Table2_2].[User_Rating].[All]" dimensionUniqueName="[Table2_2]" displayFolder="" count="0" memberValueDatatype="5" unbalanced="0"/>
    <cacheHierarchy uniqueName="[Table2_2].[User_Rating_outlier]" caption="User_Rating_outlier" attribute="1" defaultMemberUniqueName="[Table2_2].[User_Rating_outlier].[All]" allUniqueName="[Table2_2].[User_Rating_outlier].[All]" dimensionUniqueName="[Table2_2]" displayFolder="" count="0" memberValueDatatype="130" unbalanced="0"/>
    <cacheHierarchy uniqueName="[Table2_2].[Reviews]" caption="Reviews" attribute="1" defaultMemberUniqueName="[Table2_2].[Reviews].[All]" allUniqueName="[Table2_2].[Reviews].[All]" dimensionUniqueName="[Table2_2]" displayFolder="" count="0" memberValueDatatype="20" unbalanced="0"/>
    <cacheHierarchy uniqueName="[Table2_2].[Review_Outlier]" caption="Review_Outlier" attribute="1" defaultMemberUniqueName="[Table2_2].[Review_Outlier].[All]" allUniqueName="[Table2_2].[Review_Outlier].[All]" dimensionUniqueName="[Table2_2]" displayFolder="" count="0" memberValueDatatype="130" unbalanced="0"/>
    <cacheHierarchy uniqueName="[Table2_2].[Price]" caption="Price" attribute="1" defaultMemberUniqueName="[Table2_2].[Price].[All]" allUniqueName="[Table2_2].[Price].[All]" dimensionUniqueName="[Table2_2]" displayFolder="" count="0" memberValueDatatype="20" unbalanced="0"/>
    <cacheHierarchy uniqueName="[Table2_2].[Pricing_outlier]" caption="Pricing_outlier" attribute="1" defaultMemberUniqueName="[Table2_2].[Pricing_outlier].[All]" allUniqueName="[Table2_2].[Pricing_outlier].[All]" dimensionUniqueName="[Table2_2]" displayFolder="" count="0" memberValueDatatype="130" unbalanced="0"/>
    <cacheHierarchy uniqueName="[Table2_2].[Year]" caption="Year" attribute="1" defaultMemberUniqueName="[Table2_2].[Year].[All]" allUniqueName="[Table2_2].[Year].[All]" dimensionUniqueName="[Table2_2]" displayFolder="" count="0" memberValueDatatype="20" unbalanced="0"/>
    <cacheHierarchy uniqueName="[Table2_2].[Book Age]" caption="Book Age" attribute="1" defaultMemberUniqueName="[Table2_2].[Book Age].[All]" allUniqueName="[Table2_2].[Book Age].[All]" dimensionUniqueName="[Table2_2]" displayFolder="" count="0" memberValueDatatype="130" unbalanced="0"/>
    <cacheHierarchy uniqueName="[Table2_2].[Genre]" caption="Genre" attribute="1" defaultMemberUniqueName="[Table2_2].[Genre].[All]" allUniqueName="[Table2_2].[Genre].[All]" dimensionUniqueName="[Table2_2]" displayFolder="" count="2" memberValueDatatype="130" unbalanced="0"/>
    <cacheHierarchy uniqueName="[Measures].[__XL_Count Table2_2]" caption="__XL_Count Table2_2" measure="1" displayFolder="" measureGroup="Table2_2" count="0" hidden="1"/>
    <cacheHierarchy uniqueName="[Measures].[__No measures defined]" caption="__No measures defined" measure="1" displayFolder="" count="0" hidden="1"/>
    <cacheHierarchy uniqueName="[Measures].[Sum of User_Rating]" caption="Sum of User_Rating" measure="1" displayFolder="" measureGroup="Table2_2" count="0" hidden="1">
      <extLst>
        <ext xmlns:x15="http://schemas.microsoft.com/office/spreadsheetml/2010/11/main" uri="{B97F6D7D-B522-45F9-BDA1-12C45D357490}">
          <x15:cacheHierarchy aggregatedColumn="2"/>
        </ext>
      </extLst>
    </cacheHierarchy>
    <cacheHierarchy uniqueName="[Measures].[Average of User_Rating]" caption="Average of User_Rating" measure="1" displayFolder="" measureGroup="Table2_2" count="0" hidden="1">
      <extLst>
        <ext xmlns:x15="http://schemas.microsoft.com/office/spreadsheetml/2010/11/main" uri="{B97F6D7D-B522-45F9-BDA1-12C45D357490}">
          <x15:cacheHierarchy aggregatedColumn="2"/>
        </ext>
      </extLst>
    </cacheHierarchy>
    <cacheHierarchy uniqueName="[Measures].[Sum of Reviews]" caption="Sum of Reviews" measure="1" displayFolder="" measureGroup="Table2_2" count="0" hidden="1">
      <extLst>
        <ext xmlns:x15="http://schemas.microsoft.com/office/spreadsheetml/2010/11/main" uri="{B97F6D7D-B522-45F9-BDA1-12C45D357490}">
          <x15:cacheHierarchy aggregatedColumn="4"/>
        </ext>
      </extLst>
    </cacheHierarchy>
    <cacheHierarchy uniqueName="[Measures].[Max of Reviews]" caption="Max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Price]" caption="Sum of Price" measure="1" displayFolder="" measureGroup="Table2_2"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2_2" count="0" hidden="1">
      <extLst>
        <ext xmlns:x15="http://schemas.microsoft.com/office/spreadsheetml/2010/11/main" uri="{B97F6D7D-B522-45F9-BDA1-12C45D357490}">
          <x15:cacheHierarchy aggregatedColumn="6"/>
        </ext>
      </extLst>
    </cacheHierarchy>
    <cacheHierarchy uniqueName="[Measures].[Count of Genre]" caption="Count of Genre" measure="1" displayFolder="" measureGroup="Table2_2" count="0" hidden="1">
      <extLst>
        <ext xmlns:x15="http://schemas.microsoft.com/office/spreadsheetml/2010/11/main" uri="{B97F6D7D-B522-45F9-BDA1-12C45D357490}">
          <x15:cacheHierarchy aggregatedColumn="10"/>
        </ext>
      </extLst>
    </cacheHierarchy>
    <cacheHierarchy uniqueName="[Measures].[Count of Reviews]" caption="Count of Reviews" measure="1" displayFolder="" measureGroup="Table2_2" count="0" hidden="1">
      <extLst>
        <ext xmlns:x15="http://schemas.microsoft.com/office/spreadsheetml/2010/11/main" uri="{B97F6D7D-B522-45F9-BDA1-12C45D357490}">
          <x15:cacheHierarchy aggregatedColumn="4"/>
        </ext>
      </extLst>
    </cacheHierarchy>
    <cacheHierarchy uniqueName="[Measures].[Sum of Year]" caption="Sum of Year" measure="1" displayFolder="" measureGroup="Table2_2"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853770634"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
  <r>
    <x v="0"/>
    <s v="JJ Smith"/>
    <x v="0"/>
    <x v="0"/>
    <n v="17350"/>
    <s v=" Normal"/>
    <n v="8"/>
    <s v="Normal"/>
    <x v="0"/>
    <x v="0"/>
    <x v="0"/>
  </r>
  <r>
    <x v="1"/>
    <s v="Stephen King"/>
    <x v="1"/>
    <x v="0"/>
    <n v="2052"/>
    <s v=" Normal"/>
    <n v="22"/>
    <s v="Normal"/>
    <x v="1"/>
    <x v="1"/>
    <x v="1"/>
  </r>
  <r>
    <x v="2"/>
    <s v="Jordan B. Peterson"/>
    <x v="0"/>
    <x v="0"/>
    <n v="18979"/>
    <s v=" Normal"/>
    <n v="15"/>
    <s v="Normal"/>
    <x v="2"/>
    <x v="0"/>
    <x v="0"/>
  </r>
  <r>
    <x v="3"/>
    <s v="George Orwell"/>
    <x v="0"/>
    <x v="0"/>
    <n v="21424"/>
    <s v=" Normal"/>
    <n v="6"/>
    <s v="Normal"/>
    <x v="3"/>
    <x v="0"/>
    <x v="1"/>
  </r>
  <r>
    <x v="4"/>
    <s v="National Geographic Kids"/>
    <x v="2"/>
    <x v="0"/>
    <n v="7665"/>
    <s v=" Normal"/>
    <n v="12"/>
    <s v="Normal"/>
    <x v="4"/>
    <x v="0"/>
    <x v="0"/>
  </r>
  <r>
    <x v="5"/>
    <s v="George R. R. Martin"/>
    <x v="3"/>
    <x v="0"/>
    <n v="12643"/>
    <s v=" Normal"/>
    <n v="11"/>
    <s v="Normal"/>
    <x v="1"/>
    <x v="1"/>
    <x v="1"/>
  </r>
  <r>
    <x v="6"/>
    <s v="George R. R. Martin"/>
    <x v="0"/>
    <x v="0"/>
    <n v="19735"/>
    <s v=" Normal"/>
    <n v="30"/>
    <s v="Normal"/>
    <x v="5"/>
    <x v="1"/>
    <x v="1"/>
  </r>
  <r>
    <x v="7"/>
    <s v="Amor Towles"/>
    <x v="0"/>
    <x v="0"/>
    <n v="19699"/>
    <s v=" Normal"/>
    <n v="15"/>
    <s v="Normal"/>
    <x v="3"/>
    <x v="0"/>
    <x v="1"/>
  </r>
  <r>
    <x v="8"/>
    <s v="James Comey"/>
    <x v="0"/>
    <x v="0"/>
    <n v="5983"/>
    <s v=" Normal"/>
    <n v="3"/>
    <s v="Normal"/>
    <x v="2"/>
    <x v="0"/>
    <x v="0"/>
  </r>
  <r>
    <x v="9"/>
    <s v="Fredrik Backman"/>
    <x v="1"/>
    <x v="0"/>
    <n v="23848"/>
    <s v=" Normal"/>
    <n v="8"/>
    <s v="Normal"/>
    <x v="0"/>
    <x v="0"/>
    <x v="1"/>
  </r>
  <r>
    <x v="9"/>
    <s v="Fredrik Backman"/>
    <x v="1"/>
    <x v="0"/>
    <n v="23848"/>
    <s v=" Normal"/>
    <n v="8"/>
    <s v="Normal"/>
    <x v="3"/>
    <x v="0"/>
    <x v="1"/>
  </r>
  <r>
    <x v="10"/>
    <s v="Larry Schweikart"/>
    <x v="1"/>
    <x v="0"/>
    <n v="460"/>
    <s v=" Normal"/>
    <n v="2"/>
    <s v="Normal"/>
    <x v="6"/>
    <x v="1"/>
    <x v="0"/>
  </r>
  <r>
    <x v="11"/>
    <s v="Jaycee Dugard"/>
    <x v="1"/>
    <x v="0"/>
    <n v="4149"/>
    <s v=" Normal"/>
    <n v="32"/>
    <s v="Normal"/>
    <x v="1"/>
    <x v="1"/>
    <x v="0"/>
  </r>
  <r>
    <x v="12"/>
    <s v="Madeleine L'Engle"/>
    <x v="4"/>
    <x v="0"/>
    <n v="5153"/>
    <s v=" Normal"/>
    <n v="5"/>
    <s v="Normal"/>
    <x v="2"/>
    <x v="0"/>
    <x v="1"/>
  </r>
  <r>
    <x v="13"/>
    <s v="Steve Harvey"/>
    <x v="1"/>
    <x v="0"/>
    <n v="5013"/>
    <s v=" Normal"/>
    <n v="17"/>
    <s v="Normal"/>
    <x v="7"/>
    <x v="1"/>
    <x v="0"/>
  </r>
  <r>
    <x v="14"/>
    <s v="Adult Coloring Book Designs"/>
    <x v="4"/>
    <x v="0"/>
    <n v="2313"/>
    <s v=" Normal"/>
    <n v="4"/>
    <s v="Normal"/>
    <x v="0"/>
    <x v="0"/>
    <x v="0"/>
  </r>
  <r>
    <x v="15"/>
    <s v="Blue Star Coloring"/>
    <x v="1"/>
    <x v="0"/>
    <n v="2925"/>
    <s v=" Normal"/>
    <n v="6"/>
    <s v="Normal"/>
    <x v="8"/>
    <x v="0"/>
    <x v="0"/>
  </r>
  <r>
    <x v="16"/>
    <s v="Blue Star Coloring"/>
    <x v="3"/>
    <x v="0"/>
    <n v="2951"/>
    <s v=" Normal"/>
    <n v="6"/>
    <s v="Normal"/>
    <x v="8"/>
    <x v="0"/>
    <x v="0"/>
  </r>
  <r>
    <x v="17"/>
    <s v="Coloring Books for Adults"/>
    <x v="4"/>
    <x v="0"/>
    <n v="2426"/>
    <s v=" Normal"/>
    <n v="8"/>
    <s v="Normal"/>
    <x v="8"/>
    <x v="0"/>
    <x v="0"/>
  </r>
  <r>
    <x v="18"/>
    <s v="Ron Chernow"/>
    <x v="2"/>
    <x v="0"/>
    <n v="9198"/>
    <s v=" Normal"/>
    <n v="13"/>
    <s v="Normal"/>
    <x v="0"/>
    <x v="0"/>
    <x v="0"/>
  </r>
  <r>
    <x v="19"/>
    <s v="Anthony Doerr"/>
    <x v="1"/>
    <x v="0"/>
    <n v="36348"/>
    <s v="Outlier"/>
    <n v="14"/>
    <s v="Normal"/>
    <x v="5"/>
    <x v="1"/>
    <x v="1"/>
  </r>
  <r>
    <x v="19"/>
    <s v="Anthony Doerr"/>
    <x v="1"/>
    <x v="0"/>
    <n v="36348"/>
    <s v="Outlier"/>
    <n v="14"/>
    <s v="Normal"/>
    <x v="8"/>
    <x v="0"/>
    <x v="1"/>
  </r>
  <r>
    <x v="20"/>
    <s v="Veronica Roth"/>
    <x v="5"/>
    <x v="1"/>
    <n v="6310"/>
    <s v=" Normal"/>
    <n v="13"/>
    <s v="Normal"/>
    <x v="9"/>
    <x v="1"/>
    <x v="1"/>
  </r>
  <r>
    <x v="21"/>
    <s v="Chris Kyle"/>
    <x v="1"/>
    <x v="0"/>
    <n v="15921"/>
    <s v=" Normal"/>
    <n v="9"/>
    <s v="Normal"/>
    <x v="8"/>
    <x v="0"/>
    <x v="0"/>
  </r>
  <r>
    <x v="22"/>
    <s v="Khaled Hosseini"/>
    <x v="6"/>
    <x v="0"/>
    <n v="12159"/>
    <s v=" Normal"/>
    <n v="13"/>
    <s v="Normal"/>
    <x v="9"/>
    <x v="1"/>
    <x v="1"/>
  </r>
  <r>
    <x v="23"/>
    <s v="Glenn Beck"/>
    <x v="1"/>
    <x v="0"/>
    <n v="798"/>
    <s v=" Normal"/>
    <n v="5"/>
    <s v="Normal"/>
    <x v="7"/>
    <x v="1"/>
    <x v="0"/>
  </r>
  <r>
    <x v="24"/>
    <s v="Neil deGrasse Tyson"/>
    <x v="0"/>
    <x v="0"/>
    <n v="9374"/>
    <s v=" Normal"/>
    <n v="9"/>
    <s v="Normal"/>
    <x v="3"/>
    <x v="0"/>
    <x v="0"/>
  </r>
  <r>
    <x v="25"/>
    <s v="Mark Twain"/>
    <x v="7"/>
    <x v="0"/>
    <n v="491"/>
    <s v=" Normal"/>
    <n v="14"/>
    <s v="Normal"/>
    <x v="6"/>
    <x v="1"/>
    <x v="0"/>
  </r>
  <r>
    <x v="26"/>
    <s v="DK"/>
    <x v="1"/>
    <x v="0"/>
    <n v="5360"/>
    <s v=" Normal"/>
    <n v="5"/>
    <s v="Normal"/>
    <x v="8"/>
    <x v="0"/>
    <x v="0"/>
  </r>
  <r>
    <x v="27"/>
    <s v="Angie Grace"/>
    <x v="1"/>
    <x v="0"/>
    <n v="1909"/>
    <s v=" Normal"/>
    <n v="11"/>
    <s v="Normal"/>
    <x v="8"/>
    <x v="0"/>
    <x v="0"/>
  </r>
  <r>
    <x v="28"/>
    <s v="Ina Garten"/>
    <x v="2"/>
    <x v="0"/>
    <n v="1296"/>
    <s v=" Normal"/>
    <n v="24"/>
    <s v="Normal"/>
    <x v="10"/>
    <x v="1"/>
    <x v="0"/>
  </r>
  <r>
    <x v="29"/>
    <s v="Ina Garten"/>
    <x v="0"/>
    <x v="0"/>
    <n v="615"/>
    <s v=" Normal"/>
    <n v="21"/>
    <s v="Normal"/>
    <x v="6"/>
    <x v="1"/>
    <x v="0"/>
  </r>
  <r>
    <x v="30"/>
    <s v="Michelle Obama"/>
    <x v="2"/>
    <x v="0"/>
    <n v="61133"/>
    <s v="Outlier"/>
    <n v="11"/>
    <s v="Normal"/>
    <x v="2"/>
    <x v="0"/>
    <x v="0"/>
  </r>
  <r>
    <x v="30"/>
    <s v="Michelle Obama"/>
    <x v="2"/>
    <x v="0"/>
    <n v="61133"/>
    <s v="Outlier"/>
    <n v="11"/>
    <s v="Normal"/>
    <x v="4"/>
    <x v="0"/>
    <x v="0"/>
  </r>
  <r>
    <x v="31"/>
    <s v="Atul Gawande"/>
    <x v="2"/>
    <x v="0"/>
    <n v="11113"/>
    <s v=" Normal"/>
    <n v="15"/>
    <s v="Normal"/>
    <x v="8"/>
    <x v="0"/>
    <x v="0"/>
  </r>
  <r>
    <x v="32"/>
    <s v="Ta-Nehisi Coates"/>
    <x v="0"/>
    <x v="0"/>
    <n v="10070"/>
    <s v=" Normal"/>
    <n v="13"/>
    <s v="Normal"/>
    <x v="8"/>
    <x v="0"/>
    <x v="0"/>
  </r>
  <r>
    <x v="32"/>
    <s v="Ta-Nehisi Coates"/>
    <x v="0"/>
    <x v="0"/>
    <n v="10070"/>
    <s v=" Normal"/>
    <n v="13"/>
    <s v="Normal"/>
    <x v="0"/>
    <x v="0"/>
    <x v="0"/>
  </r>
  <r>
    <x v="33"/>
    <s v="Bruce Springsteen"/>
    <x v="0"/>
    <x v="0"/>
    <n v="3729"/>
    <s v=" Normal"/>
    <n v="18"/>
    <s v="Normal"/>
    <x v="0"/>
    <x v="0"/>
    <x v="0"/>
  </r>
  <r>
    <x v="34"/>
    <s v="Stephenie Meyer"/>
    <x v="1"/>
    <x v="0"/>
    <n v="9769"/>
    <s v=" Normal"/>
    <n v="13"/>
    <s v="Normal"/>
    <x v="7"/>
    <x v="1"/>
    <x v="1"/>
  </r>
  <r>
    <x v="35"/>
    <s v="Glenn Beck"/>
    <x v="4"/>
    <x v="0"/>
    <n v="471"/>
    <s v=" Normal"/>
    <n v="8"/>
    <s v="Normal"/>
    <x v="6"/>
    <x v="1"/>
    <x v="0"/>
  </r>
  <r>
    <x v="36"/>
    <s v="Bill Martin Jr."/>
    <x v="8"/>
    <x v="0"/>
    <n v="14344"/>
    <s v=" Normal"/>
    <n v="5"/>
    <s v="Normal"/>
    <x v="3"/>
    <x v="0"/>
    <x v="1"/>
  </r>
  <r>
    <x v="36"/>
    <s v="Bill Martin Jr."/>
    <x v="8"/>
    <x v="0"/>
    <n v="14344"/>
    <s v=" Normal"/>
    <n v="5"/>
    <s v="Normal"/>
    <x v="4"/>
    <x v="0"/>
    <x v="1"/>
  </r>
  <r>
    <x v="37"/>
    <s v="Jeff Kinney"/>
    <x v="2"/>
    <x v="0"/>
    <n v="4505"/>
    <s v=" Normal"/>
    <n v="0"/>
    <s v="Normal"/>
    <x v="1"/>
    <x v="1"/>
    <x v="1"/>
  </r>
  <r>
    <x v="38"/>
    <s v="Sasha O'Hara"/>
    <x v="1"/>
    <x v="0"/>
    <n v="10369"/>
    <s v=" Normal"/>
    <n v="4"/>
    <s v="Normal"/>
    <x v="0"/>
    <x v="0"/>
    <x v="0"/>
  </r>
  <r>
    <x v="39"/>
    <s v="David Goggins"/>
    <x v="2"/>
    <x v="0"/>
    <n v="16244"/>
    <s v=" Normal"/>
    <n v="18"/>
    <s v="Normal"/>
    <x v="4"/>
    <x v="0"/>
    <x v="0"/>
  </r>
  <r>
    <x v="40"/>
    <s v="Thomas Piketty"/>
    <x v="4"/>
    <x v="0"/>
    <n v="2884"/>
    <s v=" Normal"/>
    <n v="28"/>
    <s v="Normal"/>
    <x v="5"/>
    <x v="1"/>
    <x v="0"/>
  </r>
  <r>
    <x v="41"/>
    <s v="Suzanne Collins"/>
    <x v="0"/>
    <x v="0"/>
    <n v="22614"/>
    <s v=" Normal"/>
    <n v="11"/>
    <s v="Normal"/>
    <x v="6"/>
    <x v="1"/>
    <x v="1"/>
  </r>
  <r>
    <x v="41"/>
    <s v="Suzanne Collins"/>
    <x v="0"/>
    <x v="0"/>
    <n v="22614"/>
    <s v=" Normal"/>
    <n v="11"/>
    <s v="Normal"/>
    <x v="1"/>
    <x v="1"/>
    <x v="1"/>
  </r>
  <r>
    <x v="41"/>
    <s v="Suzanne Collins"/>
    <x v="0"/>
    <x v="0"/>
    <n v="22614"/>
    <s v=" Normal"/>
    <n v="11"/>
    <s v="Normal"/>
    <x v="10"/>
    <x v="1"/>
    <x v="1"/>
  </r>
  <r>
    <x v="42"/>
    <s v="Chrissy Teigen"/>
    <x v="0"/>
    <x v="0"/>
    <n v="4761"/>
    <s v=" Normal"/>
    <n v="16"/>
    <s v="Normal"/>
    <x v="0"/>
    <x v="0"/>
    <x v="0"/>
  </r>
  <r>
    <x v="43"/>
    <s v="Francis Chan"/>
    <x v="0"/>
    <x v="0"/>
    <n v="1542"/>
    <s v=" Normal"/>
    <n v="14"/>
    <s v="Normal"/>
    <x v="7"/>
    <x v="1"/>
    <x v="0"/>
  </r>
  <r>
    <x v="43"/>
    <s v="Francis Chan"/>
    <x v="0"/>
    <x v="0"/>
    <n v="1542"/>
    <s v=" Normal"/>
    <n v="14"/>
    <s v="Normal"/>
    <x v="6"/>
    <x v="1"/>
    <x v="0"/>
  </r>
  <r>
    <x v="43"/>
    <s v="Francis Chan"/>
    <x v="0"/>
    <x v="0"/>
    <n v="1542"/>
    <s v=" Normal"/>
    <n v="14"/>
    <s v="Normal"/>
    <x v="1"/>
    <x v="1"/>
    <x v="0"/>
  </r>
  <r>
    <x v="44"/>
    <s v="Kevin Kwan"/>
    <x v="6"/>
    <x v="0"/>
    <n v="6143"/>
    <s v=" Normal"/>
    <n v="8"/>
    <s v="Normal"/>
    <x v="2"/>
    <x v="0"/>
    <x v="1"/>
  </r>
  <r>
    <x v="45"/>
    <s v="Marjorie Sarnat"/>
    <x v="2"/>
    <x v="0"/>
    <n v="4022"/>
    <s v=" Normal"/>
    <n v="4"/>
    <s v="Normal"/>
    <x v="8"/>
    <x v="0"/>
    <x v="0"/>
  </r>
  <r>
    <x v="46"/>
    <s v="Marjorie Sarnat"/>
    <x v="2"/>
    <x v="0"/>
    <n v="3871"/>
    <s v=" Normal"/>
    <n v="5"/>
    <s v="Normal"/>
    <x v="8"/>
    <x v="0"/>
    <x v="0"/>
  </r>
  <r>
    <x v="47"/>
    <s v="Abraham Verghese"/>
    <x v="1"/>
    <x v="0"/>
    <n v="4866"/>
    <s v=" Normal"/>
    <n v="11"/>
    <s v="Normal"/>
    <x v="6"/>
    <x v="1"/>
    <x v="1"/>
  </r>
  <r>
    <x v="47"/>
    <s v="Abraham Verghese"/>
    <x v="1"/>
    <x v="0"/>
    <n v="4866"/>
    <s v=" Normal"/>
    <n v="11"/>
    <s v="Normal"/>
    <x v="1"/>
    <x v="1"/>
    <x v="1"/>
  </r>
  <r>
    <x v="48"/>
    <s v="BreneÌ Brown"/>
    <x v="2"/>
    <x v="0"/>
    <n v="1329"/>
    <s v=" Normal"/>
    <n v="10"/>
    <s v="Normal"/>
    <x v="9"/>
    <x v="1"/>
    <x v="0"/>
  </r>
  <r>
    <x v="49"/>
    <s v="Malcolm Gladwell"/>
    <x v="3"/>
    <x v="0"/>
    <n v="4642"/>
    <s v=" Normal"/>
    <n v="13"/>
    <s v="Normal"/>
    <x v="9"/>
    <x v="1"/>
    <x v="0"/>
  </r>
  <r>
    <x v="50"/>
    <s v="Charlaine Harris"/>
    <x v="1"/>
    <x v="0"/>
    <n v="1541"/>
    <s v=" Normal"/>
    <n v="4"/>
    <s v="Normal"/>
    <x v="7"/>
    <x v="1"/>
    <x v="1"/>
  </r>
  <r>
    <x v="51"/>
    <s v="Charlaine Harris"/>
    <x v="6"/>
    <x v="0"/>
    <n v="1924"/>
    <s v=" Normal"/>
    <n v="8"/>
    <s v="Normal"/>
    <x v="6"/>
    <x v="1"/>
    <x v="1"/>
  </r>
  <r>
    <x v="52"/>
    <s v="Charlaine Harris"/>
    <x v="7"/>
    <x v="0"/>
    <n v="2094"/>
    <s v=" Normal"/>
    <n v="4"/>
    <s v="Normal"/>
    <x v="1"/>
    <x v="1"/>
    <x v="1"/>
  </r>
  <r>
    <x v="53"/>
    <s v="Rod Campbell"/>
    <x v="2"/>
    <x v="0"/>
    <n v="10922"/>
    <s v=" Normal"/>
    <n v="5"/>
    <s v="Normal"/>
    <x v="8"/>
    <x v="0"/>
    <x v="1"/>
  </r>
  <r>
    <x v="53"/>
    <s v="Rod Campbell"/>
    <x v="2"/>
    <x v="0"/>
    <n v="10922"/>
    <s v=" Normal"/>
    <n v="5"/>
    <s v="Normal"/>
    <x v="0"/>
    <x v="0"/>
    <x v="1"/>
  </r>
  <r>
    <x v="53"/>
    <s v="Rod Campbell"/>
    <x v="2"/>
    <x v="0"/>
    <n v="10922"/>
    <s v=" Normal"/>
    <n v="5"/>
    <s v="Normal"/>
    <x v="3"/>
    <x v="0"/>
    <x v="1"/>
  </r>
  <r>
    <x v="53"/>
    <s v="Rod Campbell"/>
    <x v="2"/>
    <x v="0"/>
    <n v="10922"/>
    <s v=" Normal"/>
    <n v="5"/>
    <s v="Normal"/>
    <x v="2"/>
    <x v="0"/>
    <x v="1"/>
  </r>
  <r>
    <x v="54"/>
    <s v="George W. Bush"/>
    <x v="1"/>
    <x v="0"/>
    <n v="2137"/>
    <s v=" Normal"/>
    <n v="17"/>
    <s v="Normal"/>
    <x v="6"/>
    <x v="1"/>
    <x v="0"/>
  </r>
  <r>
    <x v="55"/>
    <s v="Tony Hsieh"/>
    <x v="1"/>
    <x v="0"/>
    <n v="1651"/>
    <s v=" Normal"/>
    <n v="15"/>
    <s v="Normal"/>
    <x v="6"/>
    <x v="1"/>
    <x v="0"/>
  </r>
  <r>
    <x v="56"/>
    <s v="American Psychiatric Association"/>
    <x v="4"/>
    <x v="0"/>
    <n v="6679"/>
    <s v=" Normal"/>
    <n v="105"/>
    <s v="Outlier"/>
    <x v="9"/>
    <x v="1"/>
    <x v="0"/>
  </r>
  <r>
    <x v="56"/>
    <s v="American Psychiatric Association"/>
    <x v="4"/>
    <x v="0"/>
    <n v="6679"/>
    <s v=" Normal"/>
    <n v="105"/>
    <s v="Outlier"/>
    <x v="5"/>
    <x v="1"/>
    <x v="0"/>
  </r>
  <r>
    <x v="57"/>
    <s v="Jeff Kinney"/>
    <x v="2"/>
    <x v="0"/>
    <n v="6812"/>
    <s v=" Normal"/>
    <n v="0"/>
    <s v="Normal"/>
    <x v="9"/>
    <x v="1"/>
    <x v="1"/>
  </r>
  <r>
    <x v="58"/>
    <s v="Jeff Kinney"/>
    <x v="2"/>
    <x v="0"/>
    <n v="3837"/>
    <s v=" Normal"/>
    <n v="15"/>
    <s v="Normal"/>
    <x v="7"/>
    <x v="1"/>
    <x v="1"/>
  </r>
  <r>
    <x v="59"/>
    <s v="Jeff Kinney"/>
    <x v="2"/>
    <x v="0"/>
    <n v="6540"/>
    <s v=" Normal"/>
    <n v="22"/>
    <s v="Normal"/>
    <x v="5"/>
    <x v="1"/>
    <x v="1"/>
  </r>
  <r>
    <x v="60"/>
    <s v="M Prefontaine"/>
    <x v="1"/>
    <x v="0"/>
    <n v="7955"/>
    <s v=" Normal"/>
    <n v="5"/>
    <s v="Normal"/>
    <x v="4"/>
    <x v="0"/>
    <x v="0"/>
  </r>
  <r>
    <x v="61"/>
    <s v="Veronica Roth"/>
    <x v="1"/>
    <x v="0"/>
    <n v="27098"/>
    <s v=" Normal"/>
    <n v="15"/>
    <s v="Normal"/>
    <x v="9"/>
    <x v="1"/>
    <x v="1"/>
  </r>
  <r>
    <x v="61"/>
    <s v="Veronica Roth"/>
    <x v="1"/>
    <x v="0"/>
    <n v="27098"/>
    <s v=" Normal"/>
    <n v="15"/>
    <s v="Normal"/>
    <x v="5"/>
    <x v="1"/>
    <x v="1"/>
  </r>
  <r>
    <x v="62"/>
    <s v="Veronica Roth"/>
    <x v="4"/>
    <x v="0"/>
    <n v="17684"/>
    <s v=" Normal"/>
    <n v="6"/>
    <s v="Normal"/>
    <x v="5"/>
    <x v="1"/>
    <x v="1"/>
  </r>
  <r>
    <x v="63"/>
    <s v="Zhi Gang Sha"/>
    <x v="1"/>
    <x v="0"/>
    <n v="37"/>
    <s v=" Normal"/>
    <n v="6"/>
    <s v="Normal"/>
    <x v="7"/>
    <x v="1"/>
    <x v="0"/>
  </r>
  <r>
    <x v="64"/>
    <s v="Stephen King"/>
    <x v="0"/>
    <x v="0"/>
    <n v="15845"/>
    <s v=" Normal"/>
    <n v="13"/>
    <s v="Normal"/>
    <x v="9"/>
    <x v="1"/>
    <x v="1"/>
  </r>
  <r>
    <x v="65"/>
    <s v="Jeff Kinney"/>
    <x v="2"/>
    <x v="0"/>
    <n v="3181"/>
    <s v=" Normal"/>
    <n v="12"/>
    <s v="Normal"/>
    <x v="7"/>
    <x v="1"/>
    <x v="1"/>
  </r>
  <r>
    <x v="66"/>
    <s v="Dav Pilkey"/>
    <x v="8"/>
    <x v="0"/>
    <n v="5062"/>
    <s v=" Normal"/>
    <n v="6"/>
    <s v="Normal"/>
    <x v="2"/>
    <x v="0"/>
    <x v="1"/>
  </r>
  <r>
    <x v="67"/>
    <s v="Dav Pilkey"/>
    <x v="8"/>
    <x v="0"/>
    <n v="4786"/>
    <s v=" Normal"/>
    <n v="8"/>
    <s v="Normal"/>
    <x v="3"/>
    <x v="0"/>
    <x v="1"/>
  </r>
  <r>
    <x v="68"/>
    <s v="Dav Pilkey"/>
    <x v="8"/>
    <x v="0"/>
    <n v="7235"/>
    <s v=" Normal"/>
    <n v="4"/>
    <s v="Normal"/>
    <x v="2"/>
    <x v="0"/>
    <x v="1"/>
  </r>
  <r>
    <x v="68"/>
    <s v="Dav Pilkey"/>
    <x v="8"/>
    <x v="0"/>
    <n v="7235"/>
    <s v=" Normal"/>
    <n v="4"/>
    <s v="Normal"/>
    <x v="4"/>
    <x v="0"/>
    <x v="1"/>
  </r>
  <r>
    <x v="69"/>
    <s v="Dav Pilkey"/>
    <x v="8"/>
    <x v="0"/>
    <n v="12619"/>
    <s v=" Normal"/>
    <n v="8"/>
    <s v="Normal"/>
    <x v="4"/>
    <x v="0"/>
    <x v="1"/>
  </r>
  <r>
    <x v="70"/>
    <s v="Dav Pilkey"/>
    <x v="8"/>
    <x v="0"/>
    <n v="9089"/>
    <s v=" Normal"/>
    <n v="8"/>
    <s v="Normal"/>
    <x v="4"/>
    <x v="0"/>
    <x v="1"/>
  </r>
  <r>
    <x v="71"/>
    <s v="Dav Pilkey"/>
    <x v="8"/>
    <x v="0"/>
    <n v="5470"/>
    <s v=" Normal"/>
    <n v="6"/>
    <s v="Normal"/>
    <x v="2"/>
    <x v="0"/>
    <x v="1"/>
  </r>
  <r>
    <x v="72"/>
    <s v="Jeff Kinney"/>
    <x v="2"/>
    <x v="0"/>
    <n v="5118"/>
    <s v=" Normal"/>
    <n v="20"/>
    <s v="Normal"/>
    <x v="0"/>
    <x v="0"/>
    <x v="1"/>
  </r>
  <r>
    <x v="73"/>
    <s v="Marty Noble"/>
    <x v="1"/>
    <x v="0"/>
    <n v="2134"/>
    <s v=" Normal"/>
    <n v="5"/>
    <s v="Normal"/>
    <x v="8"/>
    <x v="0"/>
    <x v="0"/>
  </r>
  <r>
    <x v="74"/>
    <s v="Daniel H. Pink"/>
    <x v="4"/>
    <x v="0"/>
    <n v="2525"/>
    <s v=" Normal"/>
    <n v="16"/>
    <s v="Normal"/>
    <x v="6"/>
    <x v="1"/>
    <x v="0"/>
  </r>
  <r>
    <x v="75"/>
    <s v="David Zinczenko"/>
    <x v="4"/>
    <x v="0"/>
    <n v="720"/>
    <s v=" Normal"/>
    <n v="1"/>
    <s v="Normal"/>
    <x v="7"/>
    <x v="1"/>
    <x v="0"/>
  </r>
  <r>
    <x v="76"/>
    <s v="David Zinczenko"/>
    <x v="6"/>
    <x v="0"/>
    <n v="956"/>
    <s v=" Normal"/>
    <n v="14"/>
    <s v="Normal"/>
    <x v="7"/>
    <x v="1"/>
    <x v="0"/>
  </r>
  <r>
    <x v="77"/>
    <s v="Joel Fuhrman MD"/>
    <x v="4"/>
    <x v="0"/>
    <n v="6346"/>
    <s v=" Normal"/>
    <n v="9"/>
    <s v="Normal"/>
    <x v="1"/>
    <x v="1"/>
    <x v="0"/>
  </r>
  <r>
    <x v="77"/>
    <s v="Joel Fuhrman MD"/>
    <x v="4"/>
    <x v="0"/>
    <n v="6346"/>
    <s v=" Normal"/>
    <n v="9"/>
    <s v="Normal"/>
    <x v="10"/>
    <x v="1"/>
    <x v="0"/>
  </r>
  <r>
    <x v="78"/>
    <s v="Stephenie Meyer"/>
    <x v="0"/>
    <x v="0"/>
    <n v="5505"/>
    <s v=" Normal"/>
    <n v="7"/>
    <s v="Normal"/>
    <x v="7"/>
    <x v="1"/>
    <x v="1"/>
  </r>
  <r>
    <x v="79"/>
    <s v="Stephenie Meyer"/>
    <x v="0"/>
    <x v="0"/>
    <n v="5505"/>
    <s v=" Normal"/>
    <n v="18"/>
    <s v="Normal"/>
    <x v="7"/>
    <x v="1"/>
    <x v="1"/>
  </r>
  <r>
    <x v="80"/>
    <s v="Tara Westover"/>
    <x v="0"/>
    <x v="0"/>
    <n v="28729"/>
    <s v=" Normal"/>
    <n v="15"/>
    <s v="Normal"/>
    <x v="2"/>
    <x v="0"/>
    <x v="0"/>
  </r>
  <r>
    <x v="80"/>
    <s v="Tara Westover"/>
    <x v="0"/>
    <x v="0"/>
    <n v="28729"/>
    <s v=" Normal"/>
    <n v="15"/>
    <s v="Normal"/>
    <x v="4"/>
    <x v="0"/>
    <x v="0"/>
  </r>
  <r>
    <x v="81"/>
    <s v="Johanna Basford"/>
    <x v="0"/>
    <x v="0"/>
    <n v="5413"/>
    <s v=" Normal"/>
    <n v="9"/>
    <s v="Normal"/>
    <x v="8"/>
    <x v="0"/>
    <x v="0"/>
  </r>
  <r>
    <x v="82"/>
    <s v="Ray Bradbury"/>
    <x v="1"/>
    <x v="0"/>
    <n v="10721"/>
    <s v=" Normal"/>
    <n v="8"/>
    <s v="Normal"/>
    <x v="0"/>
    <x v="0"/>
    <x v="1"/>
  </r>
  <r>
    <x v="82"/>
    <s v="Ray Bradbury"/>
    <x v="1"/>
    <x v="0"/>
    <n v="10721"/>
    <s v=" Normal"/>
    <n v="8"/>
    <s v="Normal"/>
    <x v="2"/>
    <x v="0"/>
    <x v="1"/>
  </r>
  <r>
    <x v="83"/>
    <s v="J.K. Rowling"/>
    <x v="0"/>
    <x v="0"/>
    <n v="4370"/>
    <s v=" Normal"/>
    <n v="15"/>
    <s v="Normal"/>
    <x v="0"/>
    <x v="0"/>
    <x v="1"/>
  </r>
  <r>
    <x v="84"/>
    <s v="Bob Woodward"/>
    <x v="3"/>
    <x v="0"/>
    <n v="6042"/>
    <s v=" Normal"/>
    <n v="2"/>
    <s v="Normal"/>
    <x v="2"/>
    <x v="0"/>
    <x v="0"/>
  </r>
  <r>
    <x v="85"/>
    <s v="E L James"/>
    <x v="3"/>
    <x v="0"/>
    <n v="23631"/>
    <s v=" Normal"/>
    <n v="7"/>
    <s v="Normal"/>
    <x v="10"/>
    <x v="1"/>
    <x v="1"/>
  </r>
  <r>
    <x v="86"/>
    <s v="E L James"/>
    <x v="4"/>
    <x v="0"/>
    <n v="20262"/>
    <s v=" Normal"/>
    <n v="11"/>
    <s v="Normal"/>
    <x v="10"/>
    <x v="1"/>
    <x v="1"/>
  </r>
  <r>
    <x v="87"/>
    <s v="E L James"/>
    <x v="9"/>
    <x v="1"/>
    <n v="47265"/>
    <s v="Outlier"/>
    <n v="14"/>
    <s v="Normal"/>
    <x v="10"/>
    <x v="1"/>
    <x v="1"/>
  </r>
  <r>
    <x v="87"/>
    <s v="E L James"/>
    <x v="9"/>
    <x v="1"/>
    <n v="47265"/>
    <s v="Outlier"/>
    <n v="14"/>
    <s v="Normal"/>
    <x v="9"/>
    <x v="1"/>
    <x v="1"/>
  </r>
  <r>
    <x v="88"/>
    <s v="E L James"/>
    <x v="4"/>
    <x v="0"/>
    <n v="13964"/>
    <s v=" Normal"/>
    <n v="32"/>
    <s v="Normal"/>
    <x v="10"/>
    <x v="1"/>
    <x v="1"/>
  </r>
  <r>
    <x v="89"/>
    <s v="Michael Wolff"/>
    <x v="7"/>
    <x v="0"/>
    <n v="13677"/>
    <s v=" Normal"/>
    <n v="6"/>
    <s v="Normal"/>
    <x v="2"/>
    <x v="0"/>
    <x v="0"/>
  </r>
  <r>
    <x v="90"/>
    <s v="Roger Priddy"/>
    <x v="0"/>
    <x v="0"/>
    <n v="17323"/>
    <s v=" Normal"/>
    <n v="4"/>
    <s v="Normal"/>
    <x v="5"/>
    <x v="1"/>
    <x v="0"/>
  </r>
  <r>
    <x v="90"/>
    <s v="Roger Priddy"/>
    <x v="0"/>
    <x v="0"/>
    <n v="17323"/>
    <s v=" Normal"/>
    <n v="4"/>
    <s v="Normal"/>
    <x v="8"/>
    <x v="0"/>
    <x v="0"/>
  </r>
  <r>
    <x v="90"/>
    <s v="Roger Priddy"/>
    <x v="0"/>
    <x v="0"/>
    <n v="17323"/>
    <s v=" Normal"/>
    <n v="4"/>
    <s v="Normal"/>
    <x v="0"/>
    <x v="0"/>
    <x v="0"/>
  </r>
  <r>
    <x v="90"/>
    <s v="Roger Priddy"/>
    <x v="0"/>
    <x v="0"/>
    <n v="17323"/>
    <s v=" Normal"/>
    <n v="4"/>
    <s v="Normal"/>
    <x v="3"/>
    <x v="0"/>
    <x v="0"/>
  </r>
  <r>
    <x v="90"/>
    <s v="Roger Priddy"/>
    <x v="0"/>
    <x v="0"/>
    <n v="17323"/>
    <s v=" Normal"/>
    <n v="4"/>
    <s v="Normal"/>
    <x v="2"/>
    <x v="0"/>
    <x v="0"/>
  </r>
  <r>
    <x v="91"/>
    <s v="Michael Pollan"/>
    <x v="3"/>
    <x v="0"/>
    <n v="1555"/>
    <s v=" Normal"/>
    <n v="9"/>
    <s v="Normal"/>
    <x v="6"/>
    <x v="1"/>
    <x v="0"/>
  </r>
  <r>
    <x v="92"/>
    <s v="RH Disney"/>
    <x v="0"/>
    <x v="0"/>
    <n v="3642"/>
    <s v=" Normal"/>
    <n v="0"/>
    <s v="Normal"/>
    <x v="5"/>
    <x v="1"/>
    <x v="1"/>
  </r>
  <r>
    <x v="93"/>
    <s v="John Heilemann"/>
    <x v="3"/>
    <x v="0"/>
    <n v="1215"/>
    <s v=" Normal"/>
    <n v="9"/>
    <s v="Normal"/>
    <x v="6"/>
    <x v="1"/>
    <x v="0"/>
  </r>
  <r>
    <x v="94"/>
    <s v="George R.R. Martin"/>
    <x v="1"/>
    <x v="0"/>
    <n v="5594"/>
    <s v=" Normal"/>
    <n v="5"/>
    <s v="Normal"/>
    <x v="1"/>
    <x v="1"/>
    <x v="1"/>
  </r>
  <r>
    <x v="94"/>
    <s v="George R.R. Martin"/>
    <x v="1"/>
    <x v="0"/>
    <n v="5594"/>
    <s v=" Normal"/>
    <n v="5"/>
    <s v="Normal"/>
    <x v="10"/>
    <x v="1"/>
    <x v="1"/>
  </r>
  <r>
    <x v="94"/>
    <s v="George R.R. Martin"/>
    <x v="1"/>
    <x v="0"/>
    <n v="5594"/>
    <s v=" Normal"/>
    <n v="5"/>
    <s v="Normal"/>
    <x v="9"/>
    <x v="1"/>
    <x v="1"/>
  </r>
  <r>
    <x v="95"/>
    <s v="Peter A. Lillback"/>
    <x v="4"/>
    <x v="0"/>
    <n v="408"/>
    <s v=" Normal"/>
    <n v="20"/>
    <s v="Normal"/>
    <x v="6"/>
    <x v="1"/>
    <x v="0"/>
  </r>
  <r>
    <x v="96"/>
    <s v="Brian Kilmeade"/>
    <x v="1"/>
    <x v="0"/>
    <n v="4799"/>
    <s v=" Normal"/>
    <n v="16"/>
    <s v="Normal"/>
    <x v="9"/>
    <x v="1"/>
    <x v="0"/>
  </r>
  <r>
    <x v="97"/>
    <s v="Giles Andreae"/>
    <x v="2"/>
    <x v="0"/>
    <n v="14038"/>
    <s v=" Normal"/>
    <n v="4"/>
    <s v="Normal"/>
    <x v="8"/>
    <x v="0"/>
    <x v="1"/>
  </r>
  <r>
    <x v="97"/>
    <s v="Giles Andreae"/>
    <x v="2"/>
    <x v="0"/>
    <n v="14038"/>
    <s v=" Normal"/>
    <n v="4"/>
    <s v="Normal"/>
    <x v="0"/>
    <x v="0"/>
    <x v="1"/>
  </r>
  <r>
    <x v="97"/>
    <s v="Giles Andreae"/>
    <x v="2"/>
    <x v="0"/>
    <n v="14038"/>
    <s v=" Normal"/>
    <n v="4"/>
    <s v="Normal"/>
    <x v="3"/>
    <x v="0"/>
    <x v="1"/>
  </r>
  <r>
    <x v="97"/>
    <s v="Giles Andreae"/>
    <x v="2"/>
    <x v="0"/>
    <n v="14038"/>
    <s v=" Normal"/>
    <n v="4"/>
    <s v="Normal"/>
    <x v="2"/>
    <x v="0"/>
    <x v="1"/>
  </r>
  <r>
    <x v="97"/>
    <s v="Giles Andreae"/>
    <x v="2"/>
    <x v="0"/>
    <n v="14038"/>
    <s v=" Normal"/>
    <n v="4"/>
    <s v="Normal"/>
    <x v="4"/>
    <x v="0"/>
    <x v="1"/>
  </r>
  <r>
    <x v="98"/>
    <s v="Rachel Hollis"/>
    <x v="1"/>
    <x v="0"/>
    <n v="7660"/>
    <s v=" Normal"/>
    <n v="12"/>
    <s v="Normal"/>
    <x v="4"/>
    <x v="0"/>
    <x v="0"/>
  </r>
  <r>
    <x v="99"/>
    <s v="Rachel Hollis"/>
    <x v="1"/>
    <x v="0"/>
    <n v="22288"/>
    <s v=" Normal"/>
    <n v="12"/>
    <s v="Normal"/>
    <x v="2"/>
    <x v="0"/>
    <x v="0"/>
  </r>
  <r>
    <x v="99"/>
    <s v="Rachel Hollis"/>
    <x v="1"/>
    <x v="0"/>
    <n v="22288"/>
    <s v=" Normal"/>
    <n v="12"/>
    <s v="Normal"/>
    <x v="4"/>
    <x v="0"/>
    <x v="0"/>
  </r>
  <r>
    <x v="100"/>
    <s v="Glenn Beck"/>
    <x v="1"/>
    <x v="0"/>
    <n v="1365"/>
    <s v=" Normal"/>
    <n v="11"/>
    <s v="Normal"/>
    <x v="7"/>
    <x v="1"/>
    <x v="0"/>
  </r>
  <r>
    <x v="101"/>
    <s v="Harper Lee"/>
    <x v="10"/>
    <x v="1"/>
    <n v="14982"/>
    <s v=" Normal"/>
    <n v="19"/>
    <s v="Normal"/>
    <x v="8"/>
    <x v="0"/>
    <x v="1"/>
  </r>
  <r>
    <x v="102"/>
    <s v="Adam Mansbach"/>
    <x v="2"/>
    <x v="0"/>
    <n v="9568"/>
    <s v=" Normal"/>
    <n v="9"/>
    <s v="Normal"/>
    <x v="1"/>
    <x v="1"/>
    <x v="1"/>
  </r>
  <r>
    <x v="103"/>
    <s v="Sarah Palin"/>
    <x v="1"/>
    <x v="0"/>
    <n v="1636"/>
    <s v=" Normal"/>
    <n v="6"/>
    <s v="Normal"/>
    <x v="7"/>
    <x v="1"/>
    <x v="0"/>
  </r>
  <r>
    <x v="104"/>
    <s v="Gillian Flynn"/>
    <x v="11"/>
    <x v="1"/>
    <n v="57271"/>
    <s v="Outlier"/>
    <n v="10"/>
    <s v="Normal"/>
    <x v="10"/>
    <x v="1"/>
    <x v="1"/>
  </r>
  <r>
    <x v="104"/>
    <s v="Gillian Flynn"/>
    <x v="11"/>
    <x v="1"/>
    <n v="57271"/>
    <s v="Outlier"/>
    <n v="10"/>
    <s v="Normal"/>
    <x v="9"/>
    <x v="1"/>
    <x v="1"/>
  </r>
  <r>
    <x v="104"/>
    <s v="Gillian Flynn"/>
    <x v="11"/>
    <x v="1"/>
    <n v="57271"/>
    <s v="Outlier"/>
    <n v="9"/>
    <s v="Normal"/>
    <x v="5"/>
    <x v="1"/>
    <x v="1"/>
  </r>
  <r>
    <x v="105"/>
    <s v="Pretty Simple Press"/>
    <x v="1"/>
    <x v="0"/>
    <n v="10141"/>
    <s v=" Normal"/>
    <n v="6"/>
    <s v="Normal"/>
    <x v="4"/>
    <x v="0"/>
    <x v="0"/>
  </r>
  <r>
    <x v="106"/>
    <s v="Jim Collins"/>
    <x v="4"/>
    <x v="0"/>
    <n v="3457"/>
    <s v=" Normal"/>
    <n v="14"/>
    <s v="Normal"/>
    <x v="7"/>
    <x v="1"/>
    <x v="0"/>
  </r>
  <r>
    <x v="106"/>
    <s v="Jim Collins"/>
    <x v="4"/>
    <x v="0"/>
    <n v="3457"/>
    <s v=" Normal"/>
    <n v="14"/>
    <s v="Normal"/>
    <x v="6"/>
    <x v="1"/>
    <x v="0"/>
  </r>
  <r>
    <x v="106"/>
    <s v="Jim Collins"/>
    <x v="4"/>
    <x v="0"/>
    <n v="3457"/>
    <s v=" Normal"/>
    <n v="14"/>
    <s v="Normal"/>
    <x v="1"/>
    <x v="1"/>
    <x v="0"/>
  </r>
  <r>
    <x v="106"/>
    <s v="Jim Collins"/>
    <x v="4"/>
    <x v="0"/>
    <n v="3457"/>
    <s v=" Normal"/>
    <n v="14"/>
    <s v="Normal"/>
    <x v="10"/>
    <x v="1"/>
    <x v="0"/>
  </r>
  <r>
    <x v="107"/>
    <s v="Margaret Wise Brown"/>
    <x v="2"/>
    <x v="0"/>
    <n v="8837"/>
    <s v=" Normal"/>
    <n v="5"/>
    <s v="Normal"/>
    <x v="3"/>
    <x v="0"/>
    <x v="1"/>
  </r>
  <r>
    <x v="107"/>
    <s v="Margaret Wise Brown"/>
    <x v="2"/>
    <x v="0"/>
    <n v="8837"/>
    <s v=" Normal"/>
    <n v="5"/>
    <s v="Normal"/>
    <x v="2"/>
    <x v="0"/>
    <x v="1"/>
  </r>
  <r>
    <x v="107"/>
    <s v="Margaret Wise Brown"/>
    <x v="2"/>
    <x v="0"/>
    <n v="8837"/>
    <s v=" Normal"/>
    <n v="5"/>
    <s v="Normal"/>
    <x v="4"/>
    <x v="0"/>
    <x v="1"/>
  </r>
  <r>
    <x v="108"/>
    <s v="Sherri Duskey Rinker"/>
    <x v="8"/>
    <x v="0"/>
    <n v="7038"/>
    <s v=" Normal"/>
    <n v="7"/>
    <s v="Normal"/>
    <x v="10"/>
    <x v="1"/>
    <x v="1"/>
  </r>
  <r>
    <x v="108"/>
    <s v="Sherri Duskey Rinker"/>
    <x v="8"/>
    <x v="0"/>
    <n v="7038"/>
    <s v=" Normal"/>
    <n v="7"/>
    <s v="Normal"/>
    <x v="9"/>
    <x v="1"/>
    <x v="1"/>
  </r>
  <r>
    <x v="109"/>
    <s v="David Perlmutter MD"/>
    <x v="1"/>
    <x v="0"/>
    <n v="5972"/>
    <s v=" Normal"/>
    <n v="10"/>
    <s v="Normal"/>
    <x v="5"/>
    <x v="1"/>
    <x v="0"/>
  </r>
  <r>
    <x v="110"/>
    <s v="E L James"/>
    <x v="3"/>
    <x v="0"/>
    <n v="25624"/>
    <s v=" Normal"/>
    <n v="14"/>
    <s v="Normal"/>
    <x v="8"/>
    <x v="0"/>
    <x v="1"/>
  </r>
  <r>
    <x v="111"/>
    <s v="Raina Telgemeier"/>
    <x v="2"/>
    <x v="0"/>
    <n v="5476"/>
    <s v=" Normal"/>
    <n v="7"/>
    <s v="Normal"/>
    <x v="4"/>
    <x v="0"/>
    <x v="0"/>
  </r>
  <r>
    <x v="112"/>
    <s v="Lin-Manuel Miranda"/>
    <x v="8"/>
    <x v="0"/>
    <n v="5867"/>
    <s v=" Normal"/>
    <n v="54"/>
    <s v="Outlier"/>
    <x v="0"/>
    <x v="0"/>
    <x v="0"/>
  </r>
  <r>
    <x v="113"/>
    <s v="Phil Robertson"/>
    <x v="2"/>
    <x v="0"/>
    <n v="4148"/>
    <s v=" Normal"/>
    <n v="11"/>
    <s v="Normal"/>
    <x v="9"/>
    <x v="1"/>
    <x v="0"/>
  </r>
  <r>
    <x v="114"/>
    <s v="J.K. Rowling"/>
    <x v="8"/>
    <x v="0"/>
    <n v="19622"/>
    <s v=" Normal"/>
    <n v="30"/>
    <s v="Normal"/>
    <x v="0"/>
    <x v="0"/>
    <x v="1"/>
  </r>
  <r>
    <x v="115"/>
    <s v="J.K. Rowling"/>
    <x v="11"/>
    <x v="1"/>
    <n v="23973"/>
    <s v=" Normal"/>
    <n v="12"/>
    <s v="Normal"/>
    <x v="0"/>
    <x v="0"/>
    <x v="1"/>
  </r>
  <r>
    <x v="116"/>
    <s v="J. K. Rowling"/>
    <x v="8"/>
    <x v="0"/>
    <n v="7758"/>
    <s v=" Normal"/>
    <n v="18"/>
    <s v="Normal"/>
    <x v="4"/>
    <x v="0"/>
    <x v="1"/>
  </r>
  <r>
    <x v="117"/>
    <s v="J.K. Rowling"/>
    <x v="8"/>
    <x v="0"/>
    <n v="3146"/>
    <s v=" Normal"/>
    <n v="30"/>
    <s v="Normal"/>
    <x v="3"/>
    <x v="0"/>
    <x v="1"/>
  </r>
  <r>
    <x v="118"/>
    <s v="J.K. Rowling"/>
    <x v="8"/>
    <x v="0"/>
    <n v="10052"/>
    <s v=" Normal"/>
    <n v="22"/>
    <s v="Normal"/>
    <x v="0"/>
    <x v="0"/>
    <x v="1"/>
  </r>
  <r>
    <x v="119"/>
    <s v="Scholastic"/>
    <x v="0"/>
    <x v="0"/>
    <n v="3564"/>
    <s v=" Normal"/>
    <n v="9"/>
    <s v="Normal"/>
    <x v="8"/>
    <x v="0"/>
    <x v="0"/>
  </r>
  <r>
    <x v="120"/>
    <s v="J. K. Rowling"/>
    <x v="2"/>
    <x v="0"/>
    <n v="13471"/>
    <s v=" Normal"/>
    <n v="52"/>
    <s v="Outlier"/>
    <x v="0"/>
    <x v="0"/>
    <x v="1"/>
  </r>
  <r>
    <x v="121"/>
    <s v="Mitch Albom"/>
    <x v="2"/>
    <x v="0"/>
    <n v="1930"/>
    <s v=" Normal"/>
    <n v="4"/>
    <s v="Normal"/>
    <x v="7"/>
    <x v="1"/>
    <x v="0"/>
  </r>
  <r>
    <x v="122"/>
    <s v="Todd Burpo"/>
    <x v="0"/>
    <x v="0"/>
    <n v="15779"/>
    <s v=" Normal"/>
    <n v="10"/>
    <s v="Normal"/>
    <x v="1"/>
    <x v="1"/>
    <x v="0"/>
  </r>
  <r>
    <x v="122"/>
    <s v="Todd Burpo"/>
    <x v="0"/>
    <x v="0"/>
    <n v="15779"/>
    <s v=" Normal"/>
    <n v="10"/>
    <s v="Normal"/>
    <x v="10"/>
    <x v="1"/>
    <x v="0"/>
  </r>
  <r>
    <x v="123"/>
    <s v="J. D. Vance"/>
    <x v="3"/>
    <x v="0"/>
    <n v="15526"/>
    <s v=" Normal"/>
    <n v="14"/>
    <s v="Normal"/>
    <x v="0"/>
    <x v="0"/>
    <x v="0"/>
  </r>
  <r>
    <x v="123"/>
    <s v="J. D. Vance"/>
    <x v="3"/>
    <x v="0"/>
    <n v="15526"/>
    <s v=" Normal"/>
    <n v="14"/>
    <s v="Normal"/>
    <x v="3"/>
    <x v="0"/>
    <x v="0"/>
  </r>
  <r>
    <x v="124"/>
    <s v="Joanna Gaines"/>
    <x v="2"/>
    <x v="0"/>
    <n v="3776"/>
    <s v=" Normal"/>
    <n v="22"/>
    <s v="Normal"/>
    <x v="2"/>
    <x v="0"/>
    <x v="0"/>
  </r>
  <r>
    <x v="125"/>
    <s v="Dale Carnegie"/>
    <x v="0"/>
    <x v="0"/>
    <n v="25001"/>
    <s v=" Normal"/>
    <n v="11"/>
    <s v="Normal"/>
    <x v="5"/>
    <x v="1"/>
    <x v="0"/>
  </r>
  <r>
    <x v="125"/>
    <s v="Dale Carnegie"/>
    <x v="0"/>
    <x v="0"/>
    <n v="25001"/>
    <s v=" Normal"/>
    <n v="11"/>
    <s v="Normal"/>
    <x v="8"/>
    <x v="0"/>
    <x v="0"/>
  </r>
  <r>
    <x v="125"/>
    <s v="Dale Carnegie"/>
    <x v="0"/>
    <x v="0"/>
    <n v="25001"/>
    <s v=" Normal"/>
    <n v="11"/>
    <s v="Normal"/>
    <x v="0"/>
    <x v="0"/>
    <x v="0"/>
  </r>
  <r>
    <x v="125"/>
    <s v="Dale Carnegie"/>
    <x v="0"/>
    <x v="0"/>
    <n v="25001"/>
    <s v=" Normal"/>
    <n v="11"/>
    <s v="Normal"/>
    <x v="3"/>
    <x v="0"/>
    <x v="0"/>
  </r>
  <r>
    <x v="125"/>
    <s v="Dale Carnegie"/>
    <x v="0"/>
    <x v="0"/>
    <n v="25001"/>
    <s v=" Normal"/>
    <n v="11"/>
    <s v="Normal"/>
    <x v="2"/>
    <x v="0"/>
    <x v="0"/>
  </r>
  <r>
    <x v="126"/>
    <s v="Howard Stern"/>
    <x v="6"/>
    <x v="0"/>
    <n v="5272"/>
    <s v=" Normal"/>
    <n v="16"/>
    <s v="Normal"/>
    <x v="4"/>
    <x v="0"/>
    <x v="0"/>
  </r>
  <r>
    <x v="127"/>
    <s v="Brandon Stanton"/>
    <x v="2"/>
    <x v="0"/>
    <n v="3490"/>
    <s v=" Normal"/>
    <n v="15"/>
    <s v="Normal"/>
    <x v="9"/>
    <x v="1"/>
    <x v="0"/>
  </r>
  <r>
    <x v="127"/>
    <s v="Brandon Stanton"/>
    <x v="2"/>
    <x v="0"/>
    <n v="3490"/>
    <s v=" Normal"/>
    <n v="15"/>
    <s v="Normal"/>
    <x v="5"/>
    <x v="1"/>
    <x v="0"/>
  </r>
  <r>
    <x v="128"/>
    <s v="Brandon Stanton"/>
    <x v="8"/>
    <x v="0"/>
    <n v="2812"/>
    <s v=" Normal"/>
    <n v="17"/>
    <s v="Normal"/>
    <x v="8"/>
    <x v="0"/>
    <x v="0"/>
  </r>
  <r>
    <x v="129"/>
    <s v="Allie Brosh"/>
    <x v="0"/>
    <x v="0"/>
    <n v="4896"/>
    <s v=" Normal"/>
    <n v="17"/>
    <s v="Normal"/>
    <x v="9"/>
    <x v="1"/>
    <x v="0"/>
  </r>
  <r>
    <x v="130"/>
    <s v="Hopscotch Girls"/>
    <x v="2"/>
    <x v="0"/>
    <n v="9737"/>
    <s v=" Normal"/>
    <n v="7"/>
    <s v="Normal"/>
    <x v="4"/>
    <x v="0"/>
    <x v="0"/>
  </r>
  <r>
    <x v="131"/>
    <s v="James Patterson"/>
    <x v="1"/>
    <x v="0"/>
    <n v="1320"/>
    <s v=" Normal"/>
    <n v="7"/>
    <s v="Normal"/>
    <x v="7"/>
    <x v="1"/>
    <x v="1"/>
  </r>
  <r>
    <x v="132"/>
    <s v="Ann Whitford Paul"/>
    <x v="2"/>
    <x v="0"/>
    <n v="16643"/>
    <s v=" Normal"/>
    <n v="4"/>
    <s v="Normal"/>
    <x v="3"/>
    <x v="0"/>
    <x v="1"/>
  </r>
  <r>
    <x v="132"/>
    <s v="Ann Whitford Paul"/>
    <x v="2"/>
    <x v="0"/>
    <n v="16643"/>
    <s v=" Normal"/>
    <n v="4"/>
    <s v="Normal"/>
    <x v="4"/>
    <x v="0"/>
    <x v="1"/>
  </r>
  <r>
    <x v="133"/>
    <s v="Gayle Forman"/>
    <x v="6"/>
    <x v="0"/>
    <n v="7153"/>
    <s v=" Normal"/>
    <n v="9"/>
    <s v="Normal"/>
    <x v="5"/>
    <x v="1"/>
    <x v="1"/>
  </r>
  <r>
    <x v="134"/>
    <s v="Eric Larson"/>
    <x v="3"/>
    <x v="0"/>
    <n v="4571"/>
    <s v=" Normal"/>
    <n v="21"/>
    <s v="Normal"/>
    <x v="1"/>
    <x v="1"/>
    <x v="0"/>
  </r>
  <r>
    <x v="135"/>
    <s v="Dan Brown"/>
    <x v="12"/>
    <x v="1"/>
    <n v="29651"/>
    <s v=" Normal"/>
    <n v="14"/>
    <s v="Normal"/>
    <x v="9"/>
    <x v="1"/>
    <x v="1"/>
  </r>
  <r>
    <x v="136"/>
    <s v="Christopher Paolini"/>
    <x v="1"/>
    <x v="0"/>
    <n v="5299"/>
    <s v=" Normal"/>
    <n v="20"/>
    <s v="Normal"/>
    <x v="1"/>
    <x v="1"/>
    <x v="1"/>
  </r>
  <r>
    <x v="137"/>
    <s v="Jennifer Smith"/>
    <x v="3"/>
    <x v="0"/>
    <n v="7396"/>
    <s v=" Normal"/>
    <n v="13"/>
    <s v="Normal"/>
    <x v="4"/>
    <x v="0"/>
    <x v="0"/>
  </r>
  <r>
    <x v="137"/>
    <s v="Jennifer Smith"/>
    <x v="3"/>
    <x v="0"/>
    <n v="7396"/>
    <s v=" Normal"/>
    <n v="13"/>
    <s v="Normal"/>
    <x v="2"/>
    <x v="0"/>
    <x v="0"/>
  </r>
  <r>
    <x v="138"/>
    <s v="Lysa TerKeurst"/>
    <x v="2"/>
    <x v="0"/>
    <n v="7062"/>
    <s v=" Normal"/>
    <n v="12"/>
    <s v="Normal"/>
    <x v="4"/>
    <x v="0"/>
    <x v="0"/>
  </r>
  <r>
    <x v="139"/>
    <s v="Sarah Young"/>
    <x v="8"/>
    <x v="0"/>
    <n v="19576"/>
    <s v=" Normal"/>
    <n v="8"/>
    <s v="Normal"/>
    <x v="1"/>
    <x v="1"/>
    <x v="0"/>
  </r>
  <r>
    <x v="139"/>
    <s v="Sarah Young"/>
    <x v="8"/>
    <x v="0"/>
    <n v="19576"/>
    <s v=" Normal"/>
    <n v="8"/>
    <s v="Normal"/>
    <x v="10"/>
    <x v="1"/>
    <x v="0"/>
  </r>
  <r>
    <x v="139"/>
    <s v="Sarah Young"/>
    <x v="8"/>
    <x v="0"/>
    <n v="19576"/>
    <s v=" Normal"/>
    <n v="8"/>
    <s v="Normal"/>
    <x v="9"/>
    <x v="1"/>
    <x v="0"/>
  </r>
  <r>
    <x v="139"/>
    <s v="Sarah Young"/>
    <x v="8"/>
    <x v="0"/>
    <n v="19576"/>
    <s v=" Normal"/>
    <n v="8"/>
    <s v="Normal"/>
    <x v="5"/>
    <x v="1"/>
    <x v="0"/>
  </r>
  <r>
    <x v="139"/>
    <s v="Sarah Young"/>
    <x v="8"/>
    <x v="0"/>
    <n v="19576"/>
    <s v=" Normal"/>
    <n v="8"/>
    <s v="Normal"/>
    <x v="8"/>
    <x v="0"/>
    <x v="0"/>
  </r>
  <r>
    <x v="139"/>
    <s v="Sarah Young"/>
    <x v="8"/>
    <x v="0"/>
    <n v="19576"/>
    <s v=" Normal"/>
    <n v="8"/>
    <s v="Normal"/>
    <x v="0"/>
    <x v="0"/>
    <x v="0"/>
  </r>
  <r>
    <x v="140"/>
    <s v="RH Disney"/>
    <x v="1"/>
    <x v="0"/>
    <n v="978"/>
    <s v=" Normal"/>
    <n v="0"/>
    <s v="Normal"/>
    <x v="5"/>
    <x v="1"/>
    <x v="1"/>
  </r>
  <r>
    <x v="141"/>
    <s v="Stephen King"/>
    <x v="4"/>
    <x v="0"/>
    <n v="4748"/>
    <s v=" Normal"/>
    <n v="12"/>
    <s v="Normal"/>
    <x v="9"/>
    <x v="1"/>
    <x v="1"/>
  </r>
  <r>
    <x v="142"/>
    <s v="David Grann"/>
    <x v="1"/>
    <x v="0"/>
    <n v="8393"/>
    <s v=" Normal"/>
    <n v="17"/>
    <s v="Normal"/>
    <x v="3"/>
    <x v="0"/>
    <x v="0"/>
  </r>
  <r>
    <x v="143"/>
    <s v="Bill O'Reilly"/>
    <x v="4"/>
    <x v="0"/>
    <n v="11391"/>
    <s v=" Normal"/>
    <n v="12"/>
    <s v="Normal"/>
    <x v="9"/>
    <x v="1"/>
    <x v="0"/>
  </r>
  <r>
    <x v="144"/>
    <s v="Bill O'Reilly"/>
    <x v="1"/>
    <x v="0"/>
    <n v="8634"/>
    <s v=" Normal"/>
    <n v="25"/>
    <s v="Normal"/>
    <x v="10"/>
    <x v="1"/>
    <x v="0"/>
  </r>
  <r>
    <x v="145"/>
    <s v="Bill O'Reilly"/>
    <x v="0"/>
    <x v="0"/>
    <n v="9342"/>
    <s v=" Normal"/>
    <n v="10"/>
    <s v="Normal"/>
    <x v="1"/>
    <x v="1"/>
    <x v="0"/>
  </r>
  <r>
    <x v="145"/>
    <s v="Bill O'Reilly"/>
    <x v="0"/>
    <x v="0"/>
    <n v="9342"/>
    <s v=" Normal"/>
    <n v="10"/>
    <s v="Normal"/>
    <x v="10"/>
    <x v="1"/>
    <x v="0"/>
  </r>
  <r>
    <x v="146"/>
    <s v="Bill O'Reilly"/>
    <x v="1"/>
    <x v="0"/>
    <n v="10927"/>
    <s v=" Normal"/>
    <n v="6"/>
    <s v="Normal"/>
    <x v="5"/>
    <x v="1"/>
    <x v="0"/>
  </r>
  <r>
    <x v="147"/>
    <s v="Bill O'Reilly"/>
    <x v="1"/>
    <x v="0"/>
    <n v="5235"/>
    <s v=" Normal"/>
    <n v="5"/>
    <s v="Normal"/>
    <x v="8"/>
    <x v="0"/>
    <x v="0"/>
  </r>
  <r>
    <x v="148"/>
    <s v="Bill O'Reilly"/>
    <x v="2"/>
    <x v="0"/>
    <n v="8916"/>
    <s v=" Normal"/>
    <n v="6"/>
    <s v="Normal"/>
    <x v="0"/>
    <x v="0"/>
    <x v="0"/>
  </r>
  <r>
    <x v="149"/>
    <s v="Anthony Bourdain"/>
    <x v="2"/>
    <x v="0"/>
    <n v="2507"/>
    <s v=" Normal"/>
    <n v="8"/>
    <s v="Normal"/>
    <x v="2"/>
    <x v="0"/>
    <x v="0"/>
  </r>
  <r>
    <x v="150"/>
    <s v="Rob Elliott"/>
    <x v="4"/>
    <x v="0"/>
    <n v="3673"/>
    <s v=" Normal"/>
    <n v="4"/>
    <s v="Normal"/>
    <x v="9"/>
    <x v="1"/>
    <x v="0"/>
  </r>
  <r>
    <x v="150"/>
    <s v="Rob Elliott"/>
    <x v="4"/>
    <x v="0"/>
    <n v="3673"/>
    <s v=" Normal"/>
    <n v="4"/>
    <s v="Normal"/>
    <x v="5"/>
    <x v="1"/>
    <x v="0"/>
  </r>
  <r>
    <x v="150"/>
    <s v="Rob Elliott"/>
    <x v="4"/>
    <x v="0"/>
    <n v="3673"/>
    <s v=" Normal"/>
    <n v="4"/>
    <s v="Normal"/>
    <x v="8"/>
    <x v="0"/>
    <x v="0"/>
  </r>
  <r>
    <x v="151"/>
    <s v="Jill Twiss"/>
    <x v="8"/>
    <x v="0"/>
    <n v="11881"/>
    <s v=" Normal"/>
    <n v="13"/>
    <s v="Normal"/>
    <x v="2"/>
    <x v="0"/>
    <x v="1"/>
  </r>
  <r>
    <x v="152"/>
    <s v="Rob Elliott"/>
    <x v="1"/>
    <x v="0"/>
    <n v="6990"/>
    <s v=" Normal"/>
    <n v="4"/>
    <s v="Normal"/>
    <x v="9"/>
    <x v="1"/>
    <x v="0"/>
  </r>
  <r>
    <x v="152"/>
    <s v="Rob Elliott"/>
    <x v="1"/>
    <x v="0"/>
    <n v="6990"/>
    <s v=" Normal"/>
    <n v="4"/>
    <s v="Normal"/>
    <x v="5"/>
    <x v="1"/>
    <x v="0"/>
  </r>
  <r>
    <x v="152"/>
    <s v="Rob Elliott"/>
    <x v="1"/>
    <x v="0"/>
    <n v="6990"/>
    <s v=" Normal"/>
    <n v="4"/>
    <s v="Normal"/>
    <x v="8"/>
    <x v="0"/>
    <x v="0"/>
  </r>
  <r>
    <x v="152"/>
    <s v="Rob Elliott"/>
    <x v="1"/>
    <x v="0"/>
    <n v="6990"/>
    <s v=" Normal"/>
    <n v="4"/>
    <s v="Normal"/>
    <x v="0"/>
    <x v="0"/>
    <x v="0"/>
  </r>
  <r>
    <x v="152"/>
    <s v="Rob Elliott"/>
    <x v="1"/>
    <x v="0"/>
    <n v="6990"/>
    <s v=" Normal"/>
    <n v="4"/>
    <s v="Normal"/>
    <x v="3"/>
    <x v="0"/>
    <x v="0"/>
  </r>
  <r>
    <x v="153"/>
    <s v="Sheryl Sandberg"/>
    <x v="4"/>
    <x v="0"/>
    <n v="6132"/>
    <s v=" Normal"/>
    <n v="13"/>
    <s v="Normal"/>
    <x v="9"/>
    <x v="1"/>
    <x v="0"/>
  </r>
  <r>
    <x v="154"/>
    <s v="Walter Isaacson"/>
    <x v="4"/>
    <x v="0"/>
    <n v="3014"/>
    <s v=" Normal"/>
    <n v="21"/>
    <s v="Normal"/>
    <x v="3"/>
    <x v="0"/>
    <x v="0"/>
  </r>
  <r>
    <x v="155"/>
    <s v="Paper Peony Press"/>
    <x v="3"/>
    <x v="0"/>
    <n v="7550"/>
    <s v=" Normal"/>
    <n v="6"/>
    <s v="Normal"/>
    <x v="2"/>
    <x v="0"/>
    <x v="0"/>
  </r>
  <r>
    <x v="156"/>
    <s v="Mark R. Levin"/>
    <x v="2"/>
    <x v="0"/>
    <n v="3828"/>
    <s v=" Normal"/>
    <n v="15"/>
    <s v="Normal"/>
    <x v="7"/>
    <x v="1"/>
    <x v="0"/>
  </r>
  <r>
    <x v="157"/>
    <s v="Keith Richards"/>
    <x v="4"/>
    <x v="0"/>
    <n v="2752"/>
    <s v=" Normal"/>
    <n v="18"/>
    <s v="Normal"/>
    <x v="6"/>
    <x v="1"/>
    <x v="0"/>
  </r>
  <r>
    <x v="158"/>
    <s v="Chris Cleave"/>
    <x v="12"/>
    <x v="1"/>
    <n v="1467"/>
    <s v=" Normal"/>
    <n v="10"/>
    <s v="Normal"/>
    <x v="6"/>
    <x v="1"/>
    <x v="1"/>
  </r>
  <r>
    <x v="159"/>
    <s v="Alice Schertle"/>
    <x v="8"/>
    <x v="0"/>
    <n v="1884"/>
    <s v=" Normal"/>
    <n v="0"/>
    <s v="Normal"/>
    <x v="5"/>
    <x v="1"/>
    <x v="1"/>
  </r>
  <r>
    <x v="160"/>
    <s v="Celeste Ng"/>
    <x v="4"/>
    <x v="0"/>
    <n v="25706"/>
    <s v=" Normal"/>
    <n v="12"/>
    <s v="Normal"/>
    <x v="2"/>
    <x v="0"/>
    <x v="1"/>
  </r>
  <r>
    <x v="161"/>
    <s v="John Green"/>
    <x v="4"/>
    <x v="0"/>
    <n v="8491"/>
    <s v=" Normal"/>
    <n v="7"/>
    <s v="Normal"/>
    <x v="5"/>
    <x v="1"/>
    <x v="1"/>
  </r>
  <r>
    <x v="162"/>
    <s v="Rob Bell"/>
    <x v="7"/>
    <x v="0"/>
    <n v="1649"/>
    <s v=" Normal"/>
    <n v="13"/>
    <s v="Normal"/>
    <x v="1"/>
    <x v="1"/>
    <x v="0"/>
  </r>
  <r>
    <x v="163"/>
    <s v="Robert Munsch"/>
    <x v="2"/>
    <x v="0"/>
    <n v="18613"/>
    <s v=" Normal"/>
    <n v="5"/>
    <s v="Normal"/>
    <x v="5"/>
    <x v="1"/>
    <x v="1"/>
  </r>
  <r>
    <x v="163"/>
    <s v="Robert Munsch"/>
    <x v="2"/>
    <x v="0"/>
    <n v="18613"/>
    <s v=" Normal"/>
    <n v="5"/>
    <s v="Normal"/>
    <x v="8"/>
    <x v="0"/>
    <x v="1"/>
  </r>
  <r>
    <x v="164"/>
    <s v="Joanna Gaines"/>
    <x v="2"/>
    <x v="0"/>
    <n v="9867"/>
    <s v=" Normal"/>
    <n v="16"/>
    <s v="Normal"/>
    <x v="2"/>
    <x v="0"/>
    <x v="0"/>
  </r>
  <r>
    <x v="165"/>
    <s v="Ina Garten"/>
    <x v="4"/>
    <x v="0"/>
    <n v="1386"/>
    <s v=" Normal"/>
    <n v="20"/>
    <s v="Normal"/>
    <x v="5"/>
    <x v="1"/>
    <x v="0"/>
  </r>
  <r>
    <x v="166"/>
    <s v="Admiral William H. McRaven"/>
    <x v="0"/>
    <x v="0"/>
    <n v="10199"/>
    <s v=" Normal"/>
    <n v="11"/>
    <s v="Normal"/>
    <x v="3"/>
    <x v="0"/>
    <x v="0"/>
  </r>
  <r>
    <x v="167"/>
    <s v="Julia Child"/>
    <x v="2"/>
    <x v="0"/>
    <n v="2926"/>
    <s v=" Normal"/>
    <n v="27"/>
    <s v="Normal"/>
    <x v="7"/>
    <x v="1"/>
    <x v="0"/>
  </r>
  <r>
    <x v="168"/>
    <s v="Rupi Kaur"/>
    <x v="0"/>
    <x v="0"/>
    <n v="17739"/>
    <s v=" Normal"/>
    <n v="8"/>
    <s v="Normal"/>
    <x v="0"/>
    <x v="0"/>
    <x v="0"/>
  </r>
  <r>
    <x v="168"/>
    <s v="Rupi Kaur"/>
    <x v="0"/>
    <x v="0"/>
    <n v="17739"/>
    <s v=" Normal"/>
    <n v="8"/>
    <s v="Normal"/>
    <x v="3"/>
    <x v="0"/>
    <x v="0"/>
  </r>
  <r>
    <x v="168"/>
    <s v="Rupi Kaur"/>
    <x v="0"/>
    <x v="0"/>
    <n v="17739"/>
    <s v=" Normal"/>
    <n v="8"/>
    <s v="Normal"/>
    <x v="2"/>
    <x v="0"/>
    <x v="0"/>
  </r>
  <r>
    <x v="169"/>
    <s v="Adam Gasiewski"/>
    <x v="3"/>
    <x v="0"/>
    <n v="3113"/>
    <s v=" Normal"/>
    <n v="6"/>
    <s v="Normal"/>
    <x v="3"/>
    <x v="0"/>
    <x v="0"/>
  </r>
  <r>
    <x v="170"/>
    <s v="Carol S. Dweck"/>
    <x v="1"/>
    <x v="0"/>
    <n v="5542"/>
    <s v=" Normal"/>
    <n v="10"/>
    <s v="Normal"/>
    <x v="5"/>
    <x v="1"/>
    <x v="0"/>
  </r>
  <r>
    <x v="170"/>
    <s v="Carol S. Dweck"/>
    <x v="1"/>
    <x v="0"/>
    <n v="5542"/>
    <s v=" Normal"/>
    <n v="10"/>
    <s v="Normal"/>
    <x v="8"/>
    <x v="0"/>
    <x v="0"/>
  </r>
  <r>
    <x v="170"/>
    <s v="Carol S. Dweck"/>
    <x v="1"/>
    <x v="0"/>
    <n v="5542"/>
    <s v=" Normal"/>
    <n v="10"/>
    <s v="Normal"/>
    <x v="0"/>
    <x v="0"/>
    <x v="0"/>
  </r>
  <r>
    <x v="171"/>
    <s v="Suzanne Collins"/>
    <x v="4"/>
    <x v="0"/>
    <n v="26741"/>
    <s v=" Normal"/>
    <n v="8"/>
    <s v="Normal"/>
    <x v="6"/>
    <x v="1"/>
    <x v="1"/>
  </r>
  <r>
    <x v="171"/>
    <s v="Suzanne Collins"/>
    <x v="4"/>
    <x v="0"/>
    <n v="26741"/>
    <s v=" Normal"/>
    <n v="8"/>
    <s v="Normal"/>
    <x v="1"/>
    <x v="1"/>
    <x v="1"/>
  </r>
  <r>
    <x v="171"/>
    <s v="Suzanne Collins"/>
    <x v="4"/>
    <x v="0"/>
    <n v="26741"/>
    <s v=" Normal"/>
    <n v="8"/>
    <s v="Normal"/>
    <x v="10"/>
    <x v="1"/>
    <x v="1"/>
  </r>
  <r>
    <x v="172"/>
    <s v="Crispin Boyer"/>
    <x v="2"/>
    <x v="0"/>
    <n v="5347"/>
    <s v=" Normal"/>
    <n v="16"/>
    <s v="Normal"/>
    <x v="4"/>
    <x v="0"/>
    <x v="0"/>
  </r>
  <r>
    <x v="173"/>
    <s v="Amy Shields"/>
    <x v="2"/>
    <x v="0"/>
    <n v="7866"/>
    <s v=" Normal"/>
    <n v="11"/>
    <s v="Normal"/>
    <x v="4"/>
    <x v="0"/>
    <x v="0"/>
  </r>
  <r>
    <x v="174"/>
    <s v="Stephenie Meyer"/>
    <x v="1"/>
    <x v="0"/>
    <n v="5680"/>
    <s v=" Normal"/>
    <n v="10"/>
    <s v="Normal"/>
    <x v="7"/>
    <x v="1"/>
    <x v="1"/>
  </r>
  <r>
    <x v="175"/>
    <s v="Elie Wiesel"/>
    <x v="0"/>
    <x v="0"/>
    <n v="5178"/>
    <s v=" Normal"/>
    <n v="9"/>
    <s v="Normal"/>
    <x v="0"/>
    <x v="0"/>
    <x v="0"/>
  </r>
  <r>
    <x v="176"/>
    <s v="Mark Owen"/>
    <x v="1"/>
    <x v="0"/>
    <n v="8093"/>
    <s v=" Normal"/>
    <n v="14"/>
    <s v="Normal"/>
    <x v="10"/>
    <x v="1"/>
    <x v="0"/>
  </r>
  <r>
    <x v="177"/>
    <s v="Pete Souza"/>
    <x v="8"/>
    <x v="0"/>
    <n v="3192"/>
    <s v=" Normal"/>
    <n v="22"/>
    <s v="Normal"/>
    <x v="3"/>
    <x v="0"/>
    <x v="0"/>
  </r>
  <r>
    <x v="178"/>
    <s v="Dr. Seuss"/>
    <x v="8"/>
    <x v="0"/>
    <n v="21834"/>
    <s v=" Normal"/>
    <n v="8"/>
    <s v="Normal"/>
    <x v="10"/>
    <x v="1"/>
    <x v="1"/>
  </r>
  <r>
    <x v="178"/>
    <s v="Dr. Seuss"/>
    <x v="8"/>
    <x v="0"/>
    <n v="21834"/>
    <s v=" Normal"/>
    <n v="8"/>
    <s v="Normal"/>
    <x v="9"/>
    <x v="1"/>
    <x v="1"/>
  </r>
  <r>
    <x v="178"/>
    <s v="Dr. Seuss"/>
    <x v="8"/>
    <x v="0"/>
    <n v="21834"/>
    <s v=" Normal"/>
    <n v="8"/>
    <s v="Normal"/>
    <x v="5"/>
    <x v="1"/>
    <x v="1"/>
  </r>
  <r>
    <x v="178"/>
    <s v="Dr. Seuss"/>
    <x v="8"/>
    <x v="0"/>
    <n v="21834"/>
    <s v=" Normal"/>
    <n v="8"/>
    <s v="Normal"/>
    <x v="8"/>
    <x v="0"/>
    <x v="1"/>
  </r>
  <r>
    <x v="178"/>
    <s v="Dr. Seuss"/>
    <x v="8"/>
    <x v="0"/>
    <n v="21834"/>
    <s v=" Normal"/>
    <n v="8"/>
    <s v="Normal"/>
    <x v="0"/>
    <x v="0"/>
    <x v="1"/>
  </r>
  <r>
    <x v="178"/>
    <s v="Dr. Seuss"/>
    <x v="8"/>
    <x v="0"/>
    <n v="21834"/>
    <s v=" Normal"/>
    <n v="8"/>
    <s v="Normal"/>
    <x v="3"/>
    <x v="0"/>
    <x v="1"/>
  </r>
  <r>
    <x v="178"/>
    <s v="Dr. Seuss"/>
    <x v="8"/>
    <x v="0"/>
    <n v="21834"/>
    <s v=" Normal"/>
    <n v="8"/>
    <s v="Normal"/>
    <x v="2"/>
    <x v="0"/>
    <x v="1"/>
  </r>
  <r>
    <x v="178"/>
    <s v="Dr. Seuss"/>
    <x v="8"/>
    <x v="0"/>
    <n v="21834"/>
    <s v=" Normal"/>
    <n v="8"/>
    <s v="Normal"/>
    <x v="4"/>
    <x v="0"/>
    <x v="1"/>
  </r>
  <r>
    <x v="179"/>
    <s v="Jeff Kinney"/>
    <x v="2"/>
    <x v="0"/>
    <n v="6169"/>
    <s v=" Normal"/>
    <n v="7"/>
    <s v="Normal"/>
    <x v="8"/>
    <x v="0"/>
    <x v="1"/>
  </r>
  <r>
    <x v="180"/>
    <s v="Elizabeth Strout"/>
    <x v="7"/>
    <x v="0"/>
    <n v="4519"/>
    <s v=" Normal"/>
    <n v="12"/>
    <s v="Normal"/>
    <x v="7"/>
    <x v="1"/>
    <x v="1"/>
  </r>
  <r>
    <x v="181"/>
    <s v="Ann Voskamp"/>
    <x v="1"/>
    <x v="0"/>
    <n v="3163"/>
    <s v=" Normal"/>
    <n v="13"/>
    <s v="Normal"/>
    <x v="1"/>
    <x v="1"/>
    <x v="0"/>
  </r>
  <r>
    <x v="181"/>
    <s v="Ann Voskamp"/>
    <x v="1"/>
    <x v="0"/>
    <n v="3163"/>
    <s v=" Normal"/>
    <n v="13"/>
    <s v="Normal"/>
    <x v="10"/>
    <x v="1"/>
    <x v="0"/>
  </r>
  <r>
    <x v="182"/>
    <s v="Sheryl Sandberg"/>
    <x v="4"/>
    <x v="0"/>
    <n v="1831"/>
    <s v=" Normal"/>
    <n v="9"/>
    <s v="Normal"/>
    <x v="3"/>
    <x v="0"/>
    <x v="0"/>
  </r>
  <r>
    <x v="183"/>
    <s v="Dan Brown"/>
    <x v="6"/>
    <x v="0"/>
    <n v="18904"/>
    <s v=" Normal"/>
    <n v="13"/>
    <s v="Normal"/>
    <x v="3"/>
    <x v="0"/>
    <x v="1"/>
  </r>
  <r>
    <x v="184"/>
    <s v="Christina Baker Kline"/>
    <x v="1"/>
    <x v="0"/>
    <n v="21930"/>
    <s v=" Normal"/>
    <n v="11"/>
    <s v="Normal"/>
    <x v="5"/>
    <x v="1"/>
    <x v="1"/>
  </r>
  <r>
    <x v="185"/>
    <s v="Malcolm Gladwell"/>
    <x v="1"/>
    <x v="0"/>
    <n v="10426"/>
    <s v=" Normal"/>
    <n v="20"/>
    <s v="Normal"/>
    <x v="7"/>
    <x v="1"/>
    <x v="0"/>
  </r>
  <r>
    <x v="185"/>
    <s v="Malcolm Gladwell"/>
    <x v="1"/>
    <x v="0"/>
    <n v="10426"/>
    <s v=" Normal"/>
    <n v="20"/>
    <s v="Normal"/>
    <x v="6"/>
    <x v="1"/>
    <x v="0"/>
  </r>
  <r>
    <x v="186"/>
    <s v="Naomi Kleinberg"/>
    <x v="0"/>
    <x v="0"/>
    <n v="10820"/>
    <s v=" Normal"/>
    <n v="5"/>
    <s v="Normal"/>
    <x v="2"/>
    <x v="0"/>
    <x v="0"/>
  </r>
  <r>
    <x v="186"/>
    <s v="Naomi Kleinberg"/>
    <x v="0"/>
    <x v="0"/>
    <n v="10820"/>
    <s v=" Normal"/>
    <n v="5"/>
    <s v="Normal"/>
    <x v="4"/>
    <x v="0"/>
    <x v="0"/>
  </r>
  <r>
    <x v="187"/>
    <s v="Rick Riordan"/>
    <x v="2"/>
    <x v="0"/>
    <n v="548"/>
    <s v=" Normal"/>
    <n v="2"/>
    <s v="Normal"/>
    <x v="6"/>
    <x v="1"/>
    <x v="1"/>
  </r>
  <r>
    <x v="188"/>
    <s v="Wizards RPG Team"/>
    <x v="2"/>
    <x v="0"/>
    <n v="16990"/>
    <s v=" Normal"/>
    <n v="27"/>
    <s v="Normal"/>
    <x v="3"/>
    <x v="0"/>
    <x v="1"/>
  </r>
  <r>
    <x v="188"/>
    <s v="Wizards RPG Team"/>
    <x v="2"/>
    <x v="0"/>
    <n v="16990"/>
    <s v=" Normal"/>
    <n v="27"/>
    <s v="Normal"/>
    <x v="2"/>
    <x v="0"/>
    <x v="1"/>
  </r>
  <r>
    <x v="188"/>
    <s v="Wizards RPG Team"/>
    <x v="2"/>
    <x v="0"/>
    <n v="16990"/>
    <s v=" Normal"/>
    <n v="27"/>
    <s v="Normal"/>
    <x v="4"/>
    <x v="0"/>
    <x v="1"/>
  </r>
  <r>
    <x v="189"/>
    <s v="Scholastic"/>
    <x v="0"/>
    <x v="0"/>
    <n v="3503"/>
    <s v=" Normal"/>
    <n v="9"/>
    <s v="Normal"/>
    <x v="0"/>
    <x v="0"/>
    <x v="1"/>
  </r>
  <r>
    <x v="190"/>
    <s v="Eben Alexander"/>
    <x v="6"/>
    <x v="0"/>
    <n v="13616"/>
    <s v=" Normal"/>
    <n v="10"/>
    <s v="Normal"/>
    <x v="10"/>
    <x v="1"/>
    <x v="0"/>
  </r>
  <r>
    <x v="190"/>
    <s v="Eben Alexander"/>
    <x v="6"/>
    <x v="0"/>
    <n v="13616"/>
    <s v=" Normal"/>
    <n v="10"/>
    <s v="Normal"/>
    <x v="9"/>
    <x v="1"/>
    <x v="0"/>
  </r>
  <r>
    <x v="191"/>
    <s v="American Psychological Association"/>
    <x v="4"/>
    <x v="0"/>
    <n v="8580"/>
    <s v=" Normal"/>
    <n v="46"/>
    <s v="Outlier"/>
    <x v="7"/>
    <x v="1"/>
    <x v="0"/>
  </r>
  <r>
    <x v="191"/>
    <s v="American Psychological Association"/>
    <x v="4"/>
    <x v="0"/>
    <n v="8580"/>
    <s v=" Normal"/>
    <n v="46"/>
    <s v="Outlier"/>
    <x v="6"/>
    <x v="1"/>
    <x v="0"/>
  </r>
  <r>
    <x v="191"/>
    <s v="American Psychological Association"/>
    <x v="4"/>
    <x v="0"/>
    <n v="8580"/>
    <s v=" Normal"/>
    <n v="46"/>
    <s v="Outlier"/>
    <x v="1"/>
    <x v="1"/>
    <x v="0"/>
  </r>
  <r>
    <x v="191"/>
    <s v="American Psychological Association"/>
    <x v="4"/>
    <x v="0"/>
    <n v="8580"/>
    <s v=" Normal"/>
    <n v="46"/>
    <s v="Outlier"/>
    <x v="10"/>
    <x v="1"/>
    <x v="0"/>
  </r>
  <r>
    <x v="191"/>
    <s v="American Psychological Association"/>
    <x v="4"/>
    <x v="0"/>
    <n v="8580"/>
    <s v=" Normal"/>
    <n v="46"/>
    <s v="Outlier"/>
    <x v="9"/>
    <x v="1"/>
    <x v="0"/>
  </r>
  <r>
    <x v="191"/>
    <s v="American Psychological Association"/>
    <x v="4"/>
    <x v="0"/>
    <n v="8580"/>
    <s v=" Normal"/>
    <n v="46"/>
    <s v="Outlier"/>
    <x v="5"/>
    <x v="1"/>
    <x v="0"/>
  </r>
  <r>
    <x v="191"/>
    <s v="American Psychological Association"/>
    <x v="4"/>
    <x v="0"/>
    <n v="8580"/>
    <s v=" Normal"/>
    <n v="46"/>
    <s v="Outlier"/>
    <x v="8"/>
    <x v="0"/>
    <x v="0"/>
  </r>
  <r>
    <x v="191"/>
    <s v="American Psychological Association"/>
    <x v="4"/>
    <x v="0"/>
    <n v="8580"/>
    <s v=" Normal"/>
    <n v="46"/>
    <s v="Outlier"/>
    <x v="0"/>
    <x v="0"/>
    <x v="0"/>
  </r>
  <r>
    <x v="191"/>
    <s v="American Psychological Association"/>
    <x v="4"/>
    <x v="0"/>
    <n v="8580"/>
    <s v=" Normal"/>
    <n v="46"/>
    <s v="Outlier"/>
    <x v="3"/>
    <x v="0"/>
    <x v="0"/>
  </r>
  <r>
    <x v="191"/>
    <s v="American Psychological Association"/>
    <x v="4"/>
    <x v="0"/>
    <n v="8580"/>
    <s v=" Normal"/>
    <n v="46"/>
    <s v="Outlier"/>
    <x v="2"/>
    <x v="0"/>
    <x v="0"/>
  </r>
  <r>
    <x v="192"/>
    <s v="Golden Books"/>
    <x v="2"/>
    <x v="0"/>
    <n v="4757"/>
    <s v=" Normal"/>
    <n v="4"/>
    <s v="Normal"/>
    <x v="3"/>
    <x v="0"/>
    <x v="1"/>
  </r>
  <r>
    <x v="193"/>
    <s v="Susan Cain"/>
    <x v="1"/>
    <x v="0"/>
    <n v="10009"/>
    <s v=" Normal"/>
    <n v="20"/>
    <s v="Normal"/>
    <x v="10"/>
    <x v="1"/>
    <x v="0"/>
  </r>
  <r>
    <x v="193"/>
    <s v="Susan Cain"/>
    <x v="1"/>
    <x v="0"/>
    <n v="10009"/>
    <s v=" Normal"/>
    <n v="7"/>
    <s v="Normal"/>
    <x v="9"/>
    <x v="1"/>
    <x v="0"/>
  </r>
  <r>
    <x v="194"/>
    <s v="David Platt"/>
    <x v="0"/>
    <x v="0"/>
    <n v="1985"/>
    <s v=" Normal"/>
    <n v="9"/>
    <s v="Normal"/>
    <x v="6"/>
    <x v="1"/>
    <x v="0"/>
  </r>
  <r>
    <x v="194"/>
    <s v="David Platt"/>
    <x v="0"/>
    <x v="0"/>
    <n v="1985"/>
    <s v=" Normal"/>
    <n v="9"/>
    <s v="Normal"/>
    <x v="1"/>
    <x v="1"/>
    <x v="0"/>
  </r>
  <r>
    <x v="195"/>
    <s v="Ernest Cline"/>
    <x v="1"/>
    <x v="0"/>
    <n v="22536"/>
    <s v=" Normal"/>
    <n v="12"/>
    <s v="Normal"/>
    <x v="3"/>
    <x v="0"/>
    <x v="1"/>
  </r>
  <r>
    <x v="195"/>
    <s v="Ernest Cline"/>
    <x v="1"/>
    <x v="0"/>
    <n v="22536"/>
    <s v=" Normal"/>
    <n v="12"/>
    <s v="Normal"/>
    <x v="2"/>
    <x v="0"/>
    <x v="1"/>
  </r>
  <r>
    <x v="196"/>
    <s v="Rush Limbaugh"/>
    <x v="8"/>
    <x v="0"/>
    <n v="7150"/>
    <s v=" Normal"/>
    <n v="12"/>
    <s v="Normal"/>
    <x v="9"/>
    <x v="1"/>
    <x v="1"/>
  </r>
  <r>
    <x v="197"/>
    <s v="Rush Limbaugh"/>
    <x v="8"/>
    <x v="0"/>
    <n v="3836"/>
    <s v=" Normal"/>
    <n v="12"/>
    <s v="Normal"/>
    <x v="5"/>
    <x v="1"/>
    <x v="1"/>
  </r>
  <r>
    <x v="198"/>
    <s v="Samin Nosrat"/>
    <x v="2"/>
    <x v="0"/>
    <n v="7802"/>
    <s v=" Normal"/>
    <n v="20"/>
    <s v="Normal"/>
    <x v="2"/>
    <x v="0"/>
    <x v="0"/>
  </r>
  <r>
    <x v="198"/>
    <s v="Samin Nosrat"/>
    <x v="2"/>
    <x v="0"/>
    <n v="7802"/>
    <s v=" Normal"/>
    <n v="20"/>
    <s v="Normal"/>
    <x v="4"/>
    <x v="0"/>
    <x v="0"/>
  </r>
  <r>
    <x v="199"/>
    <s v="Tatiana de Rosnay"/>
    <x v="1"/>
    <x v="0"/>
    <n v="3619"/>
    <s v=" Normal"/>
    <n v="10"/>
    <s v="Normal"/>
    <x v="6"/>
    <x v="1"/>
    <x v="1"/>
  </r>
  <r>
    <x v="200"/>
    <s v="School Zone"/>
    <x v="2"/>
    <x v="0"/>
    <n v="23047"/>
    <s v=" Normal"/>
    <n v="6"/>
    <s v="Normal"/>
    <x v="2"/>
    <x v="0"/>
    <x v="0"/>
  </r>
  <r>
    <x v="200"/>
    <s v="School Zone"/>
    <x v="2"/>
    <x v="0"/>
    <n v="23047"/>
    <s v=" Normal"/>
    <n v="6"/>
    <s v="Normal"/>
    <x v="4"/>
    <x v="0"/>
    <x v="0"/>
  </r>
  <r>
    <x v="201"/>
    <s v="Johanna Basford"/>
    <x v="0"/>
    <x v="0"/>
    <n v="9366"/>
    <s v=" Normal"/>
    <n v="9"/>
    <s v="Normal"/>
    <x v="8"/>
    <x v="0"/>
    <x v="0"/>
  </r>
  <r>
    <x v="202"/>
    <s v="Justin Halpern"/>
    <x v="0"/>
    <x v="0"/>
    <n v="1265"/>
    <s v=" Normal"/>
    <n v="11"/>
    <s v="Normal"/>
    <x v="6"/>
    <x v="1"/>
    <x v="0"/>
  </r>
  <r>
    <x v="203"/>
    <s v="Tucker Carlson"/>
    <x v="2"/>
    <x v="0"/>
    <n v="3923"/>
    <s v=" Normal"/>
    <n v="16"/>
    <s v="Normal"/>
    <x v="2"/>
    <x v="0"/>
    <x v="0"/>
  </r>
  <r>
    <x v="204"/>
    <s v="Ian K. Smith M.D."/>
    <x v="12"/>
    <x v="1"/>
    <n v="2272"/>
    <s v=" Normal"/>
    <n v="6"/>
    <s v="Normal"/>
    <x v="9"/>
    <x v="1"/>
    <x v="0"/>
  </r>
  <r>
    <x v="205"/>
    <s v="Charlaine Harris"/>
    <x v="0"/>
    <x v="0"/>
    <n v="973"/>
    <s v=" Normal"/>
    <n v="25"/>
    <s v="Normal"/>
    <x v="7"/>
    <x v="1"/>
    <x v="1"/>
  </r>
  <r>
    <x v="206"/>
    <s v="Zhi Gang Sha"/>
    <x v="1"/>
    <x v="0"/>
    <n v="220"/>
    <s v=" Normal"/>
    <n v="17"/>
    <s v="Normal"/>
    <x v="9"/>
    <x v="1"/>
    <x v="0"/>
  </r>
  <r>
    <x v="207"/>
    <s v="Walter Isaacson"/>
    <x v="1"/>
    <x v="0"/>
    <n v="7827"/>
    <s v=" Normal"/>
    <n v="20"/>
    <s v="Normal"/>
    <x v="1"/>
    <x v="1"/>
    <x v="0"/>
  </r>
  <r>
    <x v="207"/>
    <s v="Walter Isaacson"/>
    <x v="1"/>
    <x v="0"/>
    <n v="7827"/>
    <s v=" Normal"/>
    <n v="20"/>
    <s v="Normal"/>
    <x v="10"/>
    <x v="1"/>
    <x v="0"/>
  </r>
  <r>
    <x v="208"/>
    <s v="Nathan W. Pyle"/>
    <x v="8"/>
    <x v="0"/>
    <n v="9382"/>
    <s v=" Normal"/>
    <n v="6"/>
    <s v="Normal"/>
    <x v="4"/>
    <x v="0"/>
    <x v="1"/>
  </r>
  <r>
    <x v="209"/>
    <s v="Gallup"/>
    <x v="11"/>
    <x v="1"/>
    <n v="5069"/>
    <s v=" Normal"/>
    <n v="17"/>
    <s v="Normal"/>
    <x v="7"/>
    <x v="1"/>
    <x v="0"/>
  </r>
  <r>
    <x v="209"/>
    <s v="Gallup"/>
    <x v="11"/>
    <x v="1"/>
    <n v="5069"/>
    <s v=" Normal"/>
    <n v="17"/>
    <s v="Normal"/>
    <x v="6"/>
    <x v="1"/>
    <x v="0"/>
  </r>
  <r>
    <x v="209"/>
    <s v="Gallup"/>
    <x v="11"/>
    <x v="1"/>
    <n v="5069"/>
    <s v=" Normal"/>
    <n v="17"/>
    <s v="Normal"/>
    <x v="1"/>
    <x v="1"/>
    <x v="0"/>
  </r>
  <r>
    <x v="209"/>
    <s v="Gallup"/>
    <x v="11"/>
    <x v="1"/>
    <n v="5069"/>
    <s v=" Normal"/>
    <n v="17"/>
    <s v="Normal"/>
    <x v="10"/>
    <x v="1"/>
    <x v="0"/>
  </r>
  <r>
    <x v="209"/>
    <s v="Gallup"/>
    <x v="11"/>
    <x v="1"/>
    <n v="5069"/>
    <s v=" Normal"/>
    <n v="17"/>
    <s v="Normal"/>
    <x v="9"/>
    <x v="1"/>
    <x v="0"/>
  </r>
  <r>
    <x v="209"/>
    <s v="Gallup"/>
    <x v="11"/>
    <x v="1"/>
    <n v="5069"/>
    <s v=" Normal"/>
    <n v="17"/>
    <s v="Normal"/>
    <x v="5"/>
    <x v="1"/>
    <x v="0"/>
  </r>
  <r>
    <x v="209"/>
    <s v="Gallup"/>
    <x v="11"/>
    <x v="1"/>
    <n v="5069"/>
    <s v=" Normal"/>
    <n v="17"/>
    <s v="Normal"/>
    <x v="8"/>
    <x v="0"/>
    <x v="0"/>
  </r>
  <r>
    <x v="209"/>
    <s v="Gallup"/>
    <x v="11"/>
    <x v="1"/>
    <n v="5069"/>
    <s v=" Normal"/>
    <n v="17"/>
    <s v="Normal"/>
    <x v="0"/>
    <x v="0"/>
    <x v="0"/>
  </r>
  <r>
    <x v="209"/>
    <s v="Gallup"/>
    <x v="11"/>
    <x v="1"/>
    <n v="5069"/>
    <s v=" Normal"/>
    <n v="17"/>
    <s v="Normal"/>
    <x v="3"/>
    <x v="0"/>
    <x v="0"/>
  </r>
  <r>
    <x v="210"/>
    <s v="Steven D. Levitt"/>
    <x v="4"/>
    <x v="0"/>
    <n v="1583"/>
    <s v=" Normal"/>
    <n v="18"/>
    <s v="Normal"/>
    <x v="7"/>
    <x v="1"/>
    <x v="0"/>
  </r>
  <r>
    <x v="211"/>
    <s v="Chip Heath"/>
    <x v="1"/>
    <x v="0"/>
    <n v="1907"/>
    <s v=" Normal"/>
    <n v="13"/>
    <s v="Normal"/>
    <x v="6"/>
    <x v="1"/>
    <x v="0"/>
  </r>
  <r>
    <x v="212"/>
    <s v="John Grisham"/>
    <x v="4"/>
    <x v="0"/>
    <n v="23114"/>
    <s v=" Normal"/>
    <n v="18"/>
    <s v="Normal"/>
    <x v="9"/>
    <x v="1"/>
    <x v="1"/>
  </r>
  <r>
    <x v="213"/>
    <s v="Doug Lemov"/>
    <x v="3"/>
    <x v="0"/>
    <n v="637"/>
    <s v=" Normal"/>
    <n v="20"/>
    <s v="Normal"/>
    <x v="6"/>
    <x v="1"/>
    <x v="0"/>
  </r>
  <r>
    <x v="213"/>
    <s v="Doug Lemov"/>
    <x v="3"/>
    <x v="0"/>
    <n v="637"/>
    <s v=" Normal"/>
    <n v="20"/>
    <s v="Normal"/>
    <x v="1"/>
    <x v="1"/>
    <x v="0"/>
  </r>
  <r>
    <x v="214"/>
    <s v="Mike Moreno"/>
    <x v="6"/>
    <x v="0"/>
    <n v="2314"/>
    <s v=" Normal"/>
    <n v="22"/>
    <s v="Normal"/>
    <x v="1"/>
    <x v="1"/>
    <x v="0"/>
  </r>
  <r>
    <x v="215"/>
    <s v="Timothy Ferriss"/>
    <x v="6"/>
    <x v="0"/>
    <n v="4587"/>
    <s v=" Normal"/>
    <n v="21"/>
    <s v="Normal"/>
    <x v="1"/>
    <x v="1"/>
    <x v="0"/>
  </r>
  <r>
    <x v="216"/>
    <s v="Gary Chapman"/>
    <x v="0"/>
    <x v="0"/>
    <n v="3477"/>
    <s v=" Normal"/>
    <n v="28"/>
    <s v="Normal"/>
    <x v="6"/>
    <x v="1"/>
    <x v="0"/>
  </r>
  <r>
    <x v="216"/>
    <s v="Gary Chapman"/>
    <x v="0"/>
    <x v="0"/>
    <n v="3477"/>
    <s v=" Normal"/>
    <n v="28"/>
    <s v="Normal"/>
    <x v="1"/>
    <x v="1"/>
    <x v="0"/>
  </r>
  <r>
    <x v="216"/>
    <s v="Gary Chapman"/>
    <x v="0"/>
    <x v="0"/>
    <n v="3477"/>
    <s v=" Normal"/>
    <n v="28"/>
    <s v="Normal"/>
    <x v="10"/>
    <x v="1"/>
    <x v="0"/>
  </r>
  <r>
    <x v="216"/>
    <s v="Gary Chapman"/>
    <x v="0"/>
    <x v="0"/>
    <n v="3477"/>
    <s v=" Normal"/>
    <n v="28"/>
    <s v="Normal"/>
    <x v="9"/>
    <x v="1"/>
    <x v="0"/>
  </r>
  <r>
    <x v="216"/>
    <s v="Gary Chapman"/>
    <x v="0"/>
    <x v="0"/>
    <n v="3477"/>
    <s v=" Normal"/>
    <n v="28"/>
    <s v="Normal"/>
    <x v="5"/>
    <x v="1"/>
    <x v="0"/>
  </r>
  <r>
    <x v="216"/>
    <s v="Gary Chapman"/>
    <x v="2"/>
    <x v="0"/>
    <n v="25554"/>
    <s v=" Normal"/>
    <n v="8"/>
    <s v="Normal"/>
    <x v="8"/>
    <x v="0"/>
    <x v="0"/>
  </r>
  <r>
    <x v="216"/>
    <s v="Gary Chapman"/>
    <x v="2"/>
    <x v="0"/>
    <n v="25554"/>
    <s v=" Normal"/>
    <n v="8"/>
    <s v="Normal"/>
    <x v="0"/>
    <x v="0"/>
    <x v="0"/>
  </r>
  <r>
    <x v="216"/>
    <s v="Gary Chapman"/>
    <x v="2"/>
    <x v="0"/>
    <n v="25554"/>
    <s v=" Normal"/>
    <n v="8"/>
    <s v="Normal"/>
    <x v="3"/>
    <x v="0"/>
    <x v="0"/>
  </r>
  <r>
    <x v="216"/>
    <s v="Gary Chapman"/>
    <x v="2"/>
    <x v="0"/>
    <n v="25554"/>
    <s v=" Normal"/>
    <n v="8"/>
    <s v="Normal"/>
    <x v="2"/>
    <x v="0"/>
    <x v="0"/>
  </r>
  <r>
    <x v="216"/>
    <s v="Gary Chapman"/>
    <x v="2"/>
    <x v="0"/>
    <n v="25554"/>
    <s v=" Normal"/>
    <n v="8"/>
    <s v="Normal"/>
    <x v="4"/>
    <x v="0"/>
    <x v="0"/>
  </r>
  <r>
    <x v="217"/>
    <s v="W. Cleon Skousen"/>
    <x v="2"/>
    <x v="0"/>
    <n v="1680"/>
    <s v=" Normal"/>
    <n v="12"/>
    <s v="Normal"/>
    <x v="7"/>
    <x v="1"/>
    <x v="0"/>
  </r>
  <r>
    <x v="218"/>
    <s v="Stephen R. Covey"/>
    <x v="1"/>
    <x v="0"/>
    <n v="9325"/>
    <s v=" Normal"/>
    <n v="24"/>
    <s v="Normal"/>
    <x v="7"/>
    <x v="1"/>
    <x v="0"/>
  </r>
  <r>
    <x v="218"/>
    <s v="Stephen R. Covey"/>
    <x v="1"/>
    <x v="0"/>
    <n v="9325"/>
    <s v=" Normal"/>
    <n v="24"/>
    <s v="Normal"/>
    <x v="1"/>
    <x v="1"/>
    <x v="0"/>
  </r>
  <r>
    <x v="218"/>
    <s v="Stephen R. Covey"/>
    <x v="1"/>
    <x v="0"/>
    <n v="9325"/>
    <s v=" Normal"/>
    <n v="24"/>
    <s v="Normal"/>
    <x v="10"/>
    <x v="1"/>
    <x v="0"/>
  </r>
  <r>
    <x v="218"/>
    <s v="Stephen R. Covey"/>
    <x v="1"/>
    <x v="0"/>
    <n v="9325"/>
    <s v=" Normal"/>
    <n v="24"/>
    <s v="Normal"/>
    <x v="9"/>
    <x v="1"/>
    <x v="0"/>
  </r>
  <r>
    <x v="218"/>
    <s v="Stephen R. Covey"/>
    <x v="0"/>
    <x v="0"/>
    <n v="4725"/>
    <s v=" Normal"/>
    <n v="16"/>
    <s v="Normal"/>
    <x v="8"/>
    <x v="0"/>
    <x v="0"/>
  </r>
  <r>
    <x v="218"/>
    <s v="Stephen R. Covey"/>
    <x v="0"/>
    <x v="0"/>
    <n v="4725"/>
    <s v=" Normal"/>
    <n v="16"/>
    <s v="Normal"/>
    <x v="0"/>
    <x v="0"/>
    <x v="0"/>
  </r>
  <r>
    <x v="218"/>
    <s v="Stephen R. Covey"/>
    <x v="0"/>
    <x v="0"/>
    <n v="4725"/>
    <s v=" Normal"/>
    <n v="16"/>
    <s v="Normal"/>
    <x v="3"/>
    <x v="0"/>
    <x v="0"/>
  </r>
  <r>
    <x v="219"/>
    <s v="Paulo Coelho"/>
    <x v="0"/>
    <x v="0"/>
    <n v="35799"/>
    <s v="Outlier"/>
    <n v="39"/>
    <s v="Outlier"/>
    <x v="5"/>
    <x v="1"/>
    <x v="1"/>
  </r>
  <r>
    <x v="220"/>
    <s v="Edward Klein"/>
    <x v="1"/>
    <x v="0"/>
    <n v="2580"/>
    <s v=" Normal"/>
    <n v="9"/>
    <s v="Normal"/>
    <x v="10"/>
    <x v="1"/>
    <x v="0"/>
  </r>
  <r>
    <x v="221"/>
    <s v="Garth Stein"/>
    <x v="0"/>
    <x v="0"/>
    <n v="11813"/>
    <s v=" Normal"/>
    <n v="10"/>
    <s v="Normal"/>
    <x v="6"/>
    <x v="1"/>
    <x v="1"/>
  </r>
  <r>
    <x v="221"/>
    <s v="Garth Stein"/>
    <x v="0"/>
    <x v="0"/>
    <n v="11813"/>
    <s v=" Normal"/>
    <n v="10"/>
    <s v="Normal"/>
    <x v="1"/>
    <x v="1"/>
    <x v="1"/>
  </r>
  <r>
    <x v="222"/>
    <s v="Michael Lewis"/>
    <x v="0"/>
    <x v="0"/>
    <n v="3536"/>
    <s v=" Normal"/>
    <n v="17"/>
    <s v="Normal"/>
    <x v="6"/>
    <x v="1"/>
    <x v="0"/>
  </r>
  <r>
    <x v="223"/>
    <s v="Rick Riordan"/>
    <x v="2"/>
    <x v="0"/>
    <n v="6600"/>
    <s v=" Normal"/>
    <n v="11"/>
    <s v="Normal"/>
    <x v="5"/>
    <x v="1"/>
    <x v="1"/>
  </r>
  <r>
    <x v="224"/>
    <s v="Mark Hyman M.D."/>
    <x v="7"/>
    <x v="0"/>
    <n v="1789"/>
    <s v=" Normal"/>
    <n v="14"/>
    <s v="Normal"/>
    <x v="10"/>
    <x v="1"/>
    <x v="0"/>
  </r>
  <r>
    <x v="225"/>
    <s v="Bessel van der Kolk M.D."/>
    <x v="2"/>
    <x v="0"/>
    <n v="12361"/>
    <s v=" Normal"/>
    <n v="12"/>
    <s v="Normal"/>
    <x v="4"/>
    <x v="0"/>
    <x v="0"/>
  </r>
  <r>
    <x v="226"/>
    <s v="Bill Simmons"/>
    <x v="0"/>
    <x v="0"/>
    <n v="858"/>
    <s v=" Normal"/>
    <n v="53"/>
    <s v="Outlier"/>
    <x v="7"/>
    <x v="1"/>
    <x v="0"/>
  </r>
  <r>
    <x v="227"/>
    <s v="Markus Zusak"/>
    <x v="1"/>
    <x v="0"/>
    <n v="23148"/>
    <s v=" Normal"/>
    <n v="6"/>
    <s v="Normal"/>
    <x v="9"/>
    <x v="1"/>
    <x v="1"/>
  </r>
  <r>
    <x v="227"/>
    <s v="Markus Zusak"/>
    <x v="1"/>
    <x v="0"/>
    <n v="23148"/>
    <s v=" Normal"/>
    <n v="6"/>
    <s v="Normal"/>
    <x v="5"/>
    <x v="1"/>
    <x v="1"/>
  </r>
  <r>
    <x v="228"/>
    <s v="B. J. Novak"/>
    <x v="2"/>
    <x v="0"/>
    <n v="8081"/>
    <s v=" Normal"/>
    <n v="8"/>
    <s v="Normal"/>
    <x v="5"/>
    <x v="1"/>
    <x v="1"/>
  </r>
  <r>
    <x v="228"/>
    <s v="B. J. Novak"/>
    <x v="2"/>
    <x v="0"/>
    <n v="8081"/>
    <s v=" Normal"/>
    <n v="8"/>
    <s v="Normal"/>
    <x v="8"/>
    <x v="0"/>
    <x v="1"/>
  </r>
  <r>
    <x v="229"/>
    <s v="Daniel James Brown"/>
    <x v="2"/>
    <x v="0"/>
    <n v="23358"/>
    <s v=" Normal"/>
    <n v="12"/>
    <s v="Normal"/>
    <x v="5"/>
    <x v="1"/>
    <x v="0"/>
  </r>
  <r>
    <x v="229"/>
    <s v="Daniel James Brown"/>
    <x v="2"/>
    <x v="0"/>
    <n v="23358"/>
    <s v=" Normal"/>
    <n v="12"/>
    <s v="Normal"/>
    <x v="8"/>
    <x v="0"/>
    <x v="0"/>
  </r>
  <r>
    <x v="230"/>
    <s v="J.K. Rowling"/>
    <x v="13"/>
    <x v="1"/>
    <n v="9372"/>
    <s v=" Normal"/>
    <n v="12"/>
    <s v="Normal"/>
    <x v="10"/>
    <x v="1"/>
    <x v="1"/>
  </r>
  <r>
    <x v="231"/>
    <s v="Thomas Campbell"/>
    <x v="0"/>
    <x v="0"/>
    <n v="4633"/>
    <s v=" Normal"/>
    <n v="21"/>
    <s v="Normal"/>
    <x v="1"/>
    <x v="1"/>
    <x v="0"/>
  </r>
  <r>
    <x v="232"/>
    <s v="Amy Ramos"/>
    <x v="6"/>
    <x v="0"/>
    <n v="13061"/>
    <s v=" Normal"/>
    <n v="6"/>
    <s v="Normal"/>
    <x v="2"/>
    <x v="0"/>
    <x v="0"/>
  </r>
  <r>
    <x v="232"/>
    <s v="Amy Ramos"/>
    <x v="6"/>
    <x v="0"/>
    <n v="13061"/>
    <s v=" Normal"/>
    <n v="6"/>
    <s v="Normal"/>
    <x v="4"/>
    <x v="0"/>
    <x v="0"/>
  </r>
  <r>
    <x v="233"/>
    <s v="John Grisham"/>
    <x v="6"/>
    <x v="0"/>
    <n v="3523"/>
    <s v=" Normal"/>
    <n v="13"/>
    <s v="Normal"/>
    <x v="6"/>
    <x v="1"/>
    <x v="1"/>
  </r>
  <r>
    <x v="234"/>
    <s v="Delegates of the ConstitutionalÂ…"/>
    <x v="2"/>
    <x v="0"/>
    <n v="2774"/>
    <s v=" Normal"/>
    <n v="0"/>
    <s v="Normal"/>
    <x v="0"/>
    <x v="0"/>
    <x v="0"/>
  </r>
  <r>
    <x v="235"/>
    <s v="Jon Stewart"/>
    <x v="3"/>
    <x v="0"/>
    <n v="440"/>
    <s v=" Normal"/>
    <n v="11"/>
    <s v="Normal"/>
    <x v="6"/>
    <x v="1"/>
    <x v="0"/>
  </r>
  <r>
    <x v="236"/>
    <s v="Drew Daywalt"/>
    <x v="2"/>
    <x v="0"/>
    <n v="8922"/>
    <s v=" Normal"/>
    <n v="9"/>
    <s v="Normal"/>
    <x v="9"/>
    <x v="1"/>
    <x v="1"/>
  </r>
  <r>
    <x v="236"/>
    <s v="Drew Daywalt"/>
    <x v="2"/>
    <x v="0"/>
    <n v="8922"/>
    <s v=" Normal"/>
    <n v="9"/>
    <s v="Normal"/>
    <x v="5"/>
    <x v="1"/>
    <x v="1"/>
  </r>
  <r>
    <x v="236"/>
    <s v="Drew Daywalt"/>
    <x v="2"/>
    <x v="0"/>
    <n v="8922"/>
    <s v=" Normal"/>
    <n v="9"/>
    <s v="Normal"/>
    <x v="8"/>
    <x v="0"/>
    <x v="1"/>
  </r>
  <r>
    <x v="237"/>
    <s v="Pierre Dukan"/>
    <x v="12"/>
    <x v="1"/>
    <n v="2023"/>
    <s v=" Normal"/>
    <n v="15"/>
    <s v="Normal"/>
    <x v="1"/>
    <x v="1"/>
    <x v="0"/>
  </r>
  <r>
    <x v="238"/>
    <s v="Muriel Barbery"/>
    <x v="11"/>
    <x v="1"/>
    <n v="1859"/>
    <s v=" Normal"/>
    <n v="11"/>
    <s v="Normal"/>
    <x v="7"/>
    <x v="1"/>
    <x v="1"/>
  </r>
  <r>
    <x v="239"/>
    <s v="John Green"/>
    <x v="0"/>
    <x v="0"/>
    <n v="50482"/>
    <s v="Outlier"/>
    <n v="13"/>
    <s v="Normal"/>
    <x v="10"/>
    <x v="1"/>
    <x v="1"/>
  </r>
  <r>
    <x v="239"/>
    <s v="John Green"/>
    <x v="0"/>
    <x v="0"/>
    <n v="50482"/>
    <s v="Outlier"/>
    <n v="13"/>
    <s v="Normal"/>
    <x v="9"/>
    <x v="1"/>
    <x v="1"/>
  </r>
  <r>
    <x v="239"/>
    <s v="John Green"/>
    <x v="0"/>
    <x v="0"/>
    <n v="50482"/>
    <s v="Outlier"/>
    <n v="7"/>
    <s v="Normal"/>
    <x v="5"/>
    <x v="1"/>
    <x v="1"/>
  </r>
  <r>
    <x v="239"/>
    <s v="John Green"/>
    <x v="0"/>
    <x v="0"/>
    <n v="50482"/>
    <s v="Outlier"/>
    <n v="13"/>
    <s v="Normal"/>
    <x v="5"/>
    <x v="1"/>
    <x v="1"/>
  </r>
  <r>
    <x v="240"/>
    <s v="Patrick Lencioni"/>
    <x v="1"/>
    <x v="0"/>
    <n v="3207"/>
    <s v=" Normal"/>
    <n v="6"/>
    <s v="Normal"/>
    <x v="7"/>
    <x v="1"/>
    <x v="0"/>
  </r>
  <r>
    <x v="240"/>
    <s v="Patrick Lencioni"/>
    <x v="1"/>
    <x v="0"/>
    <n v="3207"/>
    <s v=" Normal"/>
    <n v="6"/>
    <s v="Normal"/>
    <x v="6"/>
    <x v="1"/>
    <x v="0"/>
  </r>
  <r>
    <x v="240"/>
    <s v="Patrick Lencioni"/>
    <x v="1"/>
    <x v="0"/>
    <n v="3207"/>
    <s v=" Normal"/>
    <n v="6"/>
    <s v="Normal"/>
    <x v="1"/>
    <x v="1"/>
    <x v="0"/>
  </r>
  <r>
    <x v="240"/>
    <s v="Patrick Lencioni"/>
    <x v="1"/>
    <x v="0"/>
    <n v="3207"/>
    <s v=" Normal"/>
    <n v="6"/>
    <s v="Normal"/>
    <x v="10"/>
    <x v="1"/>
    <x v="0"/>
  </r>
  <r>
    <x v="240"/>
    <s v="Patrick Lencioni"/>
    <x v="1"/>
    <x v="0"/>
    <n v="3207"/>
    <s v=" Normal"/>
    <n v="6"/>
    <s v="Normal"/>
    <x v="9"/>
    <x v="1"/>
    <x v="0"/>
  </r>
  <r>
    <x v="241"/>
    <s v="Gary Chapman"/>
    <x v="1"/>
    <x v="0"/>
    <n v="803"/>
    <s v=" Normal"/>
    <n v="9"/>
    <s v="Normal"/>
    <x v="7"/>
    <x v="1"/>
    <x v="0"/>
  </r>
  <r>
    <x v="242"/>
    <s v="Don Miguel Ruiz"/>
    <x v="0"/>
    <x v="0"/>
    <n v="23308"/>
    <s v=" Normal"/>
    <n v="6"/>
    <s v="Normal"/>
    <x v="9"/>
    <x v="1"/>
    <x v="0"/>
  </r>
  <r>
    <x v="242"/>
    <s v="Don Miguel Ruiz"/>
    <x v="0"/>
    <x v="0"/>
    <n v="23308"/>
    <s v=" Normal"/>
    <n v="6"/>
    <s v="Normal"/>
    <x v="8"/>
    <x v="0"/>
    <x v="0"/>
  </r>
  <r>
    <x v="242"/>
    <s v="Don Miguel Ruiz"/>
    <x v="0"/>
    <x v="0"/>
    <n v="23308"/>
    <s v=" Normal"/>
    <n v="6"/>
    <s v="Normal"/>
    <x v="0"/>
    <x v="0"/>
    <x v="0"/>
  </r>
  <r>
    <x v="242"/>
    <s v="Don Miguel Ruiz"/>
    <x v="0"/>
    <x v="0"/>
    <n v="23308"/>
    <s v=" Normal"/>
    <n v="6"/>
    <s v="Normal"/>
    <x v="3"/>
    <x v="0"/>
    <x v="0"/>
  </r>
  <r>
    <x v="242"/>
    <s v="Don Miguel Ruiz"/>
    <x v="0"/>
    <x v="0"/>
    <n v="23308"/>
    <s v=" Normal"/>
    <n v="6"/>
    <s v="Normal"/>
    <x v="2"/>
    <x v="0"/>
    <x v="0"/>
  </r>
  <r>
    <x v="242"/>
    <s v="Don Miguel Ruiz"/>
    <x v="0"/>
    <x v="0"/>
    <n v="23308"/>
    <s v=" Normal"/>
    <n v="6"/>
    <s v="Normal"/>
    <x v="4"/>
    <x v="0"/>
    <x v="0"/>
  </r>
  <r>
    <x v="243"/>
    <s v="Jeff Kinney"/>
    <x v="2"/>
    <x v="0"/>
    <n v="5836"/>
    <s v=" Normal"/>
    <n v="0"/>
    <s v="Normal"/>
    <x v="3"/>
    <x v="0"/>
    <x v="1"/>
  </r>
  <r>
    <x v="244"/>
    <s v="Paula Hawkins"/>
    <x v="12"/>
    <x v="1"/>
    <n v="79446"/>
    <s v="Outlier"/>
    <n v="18"/>
    <s v="Normal"/>
    <x v="8"/>
    <x v="0"/>
    <x v="1"/>
  </r>
  <r>
    <x v="244"/>
    <s v="Paula Hawkins"/>
    <x v="12"/>
    <x v="1"/>
    <n v="79446"/>
    <s v="Outlier"/>
    <n v="7"/>
    <s v="Normal"/>
    <x v="0"/>
    <x v="0"/>
    <x v="1"/>
  </r>
  <r>
    <x v="245"/>
    <s v="Stieg Larsson"/>
    <x v="0"/>
    <x v="0"/>
    <n v="7747"/>
    <s v=" Normal"/>
    <n v="14"/>
    <s v="Normal"/>
    <x v="6"/>
    <x v="1"/>
    <x v="1"/>
  </r>
  <r>
    <x v="245"/>
    <s v="Stieg Larsson"/>
    <x v="0"/>
    <x v="0"/>
    <n v="7747"/>
    <s v=" Normal"/>
    <n v="14"/>
    <s v="Normal"/>
    <x v="1"/>
    <x v="1"/>
    <x v="1"/>
  </r>
  <r>
    <x v="246"/>
    <s v="Stieg Larsson"/>
    <x v="0"/>
    <x v="0"/>
    <n v="7251"/>
    <s v=" Normal"/>
    <n v="9"/>
    <s v="Normal"/>
    <x v="6"/>
    <x v="1"/>
    <x v="1"/>
  </r>
  <r>
    <x v="247"/>
    <s v="Stieg Larsson"/>
    <x v="0"/>
    <x v="0"/>
    <n v="7251"/>
    <s v=" Normal"/>
    <n v="16"/>
    <s v="Normal"/>
    <x v="7"/>
    <x v="1"/>
    <x v="1"/>
  </r>
  <r>
    <x v="248"/>
    <s v="Stieg Larsson"/>
    <x v="3"/>
    <x v="0"/>
    <n v="10559"/>
    <s v=" Normal"/>
    <n v="2"/>
    <s v="Normal"/>
    <x v="7"/>
    <x v="1"/>
    <x v="1"/>
  </r>
  <r>
    <x v="248"/>
    <s v="Stieg Larsson"/>
    <x v="3"/>
    <x v="0"/>
    <n v="10559"/>
    <s v=" Normal"/>
    <n v="2"/>
    <s v="Normal"/>
    <x v="6"/>
    <x v="1"/>
    <x v="1"/>
  </r>
  <r>
    <x v="249"/>
    <s v="Sandra Boynton"/>
    <x v="2"/>
    <x v="0"/>
    <n v="5249"/>
    <s v=" Normal"/>
    <n v="5"/>
    <s v="Normal"/>
    <x v="0"/>
    <x v="0"/>
    <x v="1"/>
  </r>
  <r>
    <x v="249"/>
    <s v="Sandra Boynton"/>
    <x v="2"/>
    <x v="0"/>
    <n v="5249"/>
    <s v=" Normal"/>
    <n v="5"/>
    <s v="Normal"/>
    <x v="3"/>
    <x v="0"/>
    <x v="1"/>
  </r>
  <r>
    <x v="250"/>
    <s v="Donna Tartt"/>
    <x v="5"/>
    <x v="1"/>
    <n v="33844"/>
    <s v=" Normal"/>
    <n v="20"/>
    <s v="Normal"/>
    <x v="9"/>
    <x v="1"/>
    <x v="1"/>
  </r>
  <r>
    <x v="250"/>
    <s v="Donna Tartt"/>
    <x v="5"/>
    <x v="1"/>
    <n v="33844"/>
    <s v=" Normal"/>
    <n v="20"/>
    <s v="Normal"/>
    <x v="5"/>
    <x v="1"/>
    <x v="1"/>
  </r>
  <r>
    <x v="251"/>
    <s v="F. Scott Fitzgerald"/>
    <x v="3"/>
    <x v="0"/>
    <n v="11616"/>
    <s v=" Normal"/>
    <n v="7"/>
    <s v="Normal"/>
    <x v="10"/>
    <x v="1"/>
    <x v="1"/>
  </r>
  <r>
    <x v="251"/>
    <s v="F. Scott Fitzgerald"/>
    <x v="3"/>
    <x v="0"/>
    <n v="11616"/>
    <s v=" Normal"/>
    <n v="7"/>
    <s v="Normal"/>
    <x v="9"/>
    <x v="1"/>
    <x v="1"/>
  </r>
  <r>
    <x v="251"/>
    <s v="F. Scott Fitzgerald"/>
    <x v="3"/>
    <x v="0"/>
    <n v="11616"/>
    <s v=" Normal"/>
    <n v="7"/>
    <s v="Normal"/>
    <x v="5"/>
    <x v="1"/>
    <x v="1"/>
  </r>
  <r>
    <x v="252"/>
    <s v="John Grisham"/>
    <x v="4"/>
    <x v="0"/>
    <n v="13609"/>
    <s v=" Normal"/>
    <n v="14"/>
    <s v="Normal"/>
    <x v="4"/>
    <x v="0"/>
    <x v="1"/>
  </r>
  <r>
    <x v="253"/>
    <s v="Mary Ann Shaffer"/>
    <x v="0"/>
    <x v="0"/>
    <n v="8587"/>
    <s v=" Normal"/>
    <n v="10"/>
    <s v="Normal"/>
    <x v="7"/>
    <x v="1"/>
    <x v="1"/>
  </r>
  <r>
    <x v="254"/>
    <s v="Margaret Atwood"/>
    <x v="6"/>
    <x v="0"/>
    <n v="29442"/>
    <s v=" Normal"/>
    <n v="7"/>
    <s v="Normal"/>
    <x v="3"/>
    <x v="0"/>
    <x v="1"/>
  </r>
  <r>
    <x v="255"/>
    <s v="Jonathan Cahn"/>
    <x v="1"/>
    <x v="0"/>
    <n v="11098"/>
    <s v=" Normal"/>
    <n v="13"/>
    <s v="Normal"/>
    <x v="10"/>
    <x v="1"/>
    <x v="1"/>
  </r>
  <r>
    <x v="256"/>
    <s v="Angie Thomas"/>
    <x v="2"/>
    <x v="0"/>
    <n v="9947"/>
    <s v=" Normal"/>
    <n v="11"/>
    <s v="Normal"/>
    <x v="2"/>
    <x v="0"/>
    <x v="1"/>
  </r>
  <r>
    <x v="257"/>
    <s v="Kathryn Stockett"/>
    <x v="2"/>
    <x v="0"/>
    <n v="13871"/>
    <s v=" Normal"/>
    <n v="6"/>
    <s v="Normal"/>
    <x v="7"/>
    <x v="1"/>
    <x v="1"/>
  </r>
  <r>
    <x v="257"/>
    <s v="Kathryn Stockett"/>
    <x v="2"/>
    <x v="0"/>
    <n v="13871"/>
    <s v=" Normal"/>
    <n v="6"/>
    <s v="Normal"/>
    <x v="6"/>
    <x v="1"/>
    <x v="1"/>
  </r>
  <r>
    <x v="257"/>
    <s v="Kathryn Stockett"/>
    <x v="2"/>
    <x v="0"/>
    <n v="13871"/>
    <s v=" Normal"/>
    <n v="8"/>
    <s v="Normal"/>
    <x v="1"/>
    <x v="1"/>
    <x v="1"/>
  </r>
  <r>
    <x v="257"/>
    <s v="Kathryn Stockett"/>
    <x v="2"/>
    <x v="0"/>
    <n v="13871"/>
    <s v=" Normal"/>
    <n v="7"/>
    <s v="Normal"/>
    <x v="1"/>
    <x v="1"/>
    <x v="1"/>
  </r>
  <r>
    <x v="258"/>
    <s v="Rick Riordan"/>
    <x v="2"/>
    <x v="0"/>
    <n v="6982"/>
    <s v=" Normal"/>
    <n v="14"/>
    <s v="Normal"/>
    <x v="9"/>
    <x v="1"/>
    <x v="1"/>
  </r>
  <r>
    <x v="259"/>
    <s v="Suzanne Collins"/>
    <x v="0"/>
    <x v="0"/>
    <n v="32122"/>
    <s v=" Normal"/>
    <n v="14"/>
    <s v="Normal"/>
    <x v="6"/>
    <x v="1"/>
    <x v="1"/>
  </r>
  <r>
    <x v="260"/>
    <s v="Suzanne Collins"/>
    <x v="0"/>
    <x v="0"/>
    <n v="32122"/>
    <s v=" Normal"/>
    <n v="8"/>
    <s v="Normal"/>
    <x v="1"/>
    <x v="1"/>
    <x v="1"/>
  </r>
  <r>
    <x v="260"/>
    <s v="Suzanne Collins"/>
    <x v="0"/>
    <x v="0"/>
    <n v="32122"/>
    <s v=" Normal"/>
    <n v="8"/>
    <s v="Normal"/>
    <x v="10"/>
    <x v="1"/>
    <x v="1"/>
  </r>
  <r>
    <x v="261"/>
    <s v="Suzanne Collins"/>
    <x v="2"/>
    <x v="0"/>
    <n v="16949"/>
    <s v=" Normal"/>
    <n v="30"/>
    <s v="Normal"/>
    <x v="1"/>
    <x v="1"/>
    <x v="1"/>
  </r>
  <r>
    <x v="261"/>
    <s v="Suzanne Collins"/>
    <x v="2"/>
    <x v="0"/>
    <n v="16949"/>
    <s v=" Normal"/>
    <n v="30"/>
    <s v="Normal"/>
    <x v="10"/>
    <x v="1"/>
    <x v="1"/>
  </r>
  <r>
    <x v="262"/>
    <s v="Rebecca Skloot"/>
    <x v="0"/>
    <x v="0"/>
    <n v="9289"/>
    <s v=" Normal"/>
    <n v="13"/>
    <s v="Normal"/>
    <x v="6"/>
    <x v="1"/>
    <x v="0"/>
  </r>
  <r>
    <x v="262"/>
    <s v="Rebecca Skloot"/>
    <x v="0"/>
    <x v="0"/>
    <n v="9289"/>
    <s v=" Normal"/>
    <n v="9"/>
    <s v="Normal"/>
    <x v="1"/>
    <x v="1"/>
    <x v="0"/>
  </r>
  <r>
    <x v="262"/>
    <s v="Rebecca Skloot"/>
    <x v="0"/>
    <x v="0"/>
    <n v="9289"/>
    <s v=" Normal"/>
    <n v="9"/>
    <s v="Normal"/>
    <x v="10"/>
    <x v="1"/>
    <x v="0"/>
  </r>
  <r>
    <x v="263"/>
    <s v="Laurel Randolph"/>
    <x v="6"/>
    <x v="0"/>
    <n v="7368"/>
    <s v=" Normal"/>
    <n v="7"/>
    <s v="Normal"/>
    <x v="3"/>
    <x v="0"/>
    <x v="0"/>
  </r>
  <r>
    <x v="263"/>
    <s v="Laurel Randolph"/>
    <x v="6"/>
    <x v="0"/>
    <n v="7368"/>
    <s v=" Normal"/>
    <n v="7"/>
    <s v="Normal"/>
    <x v="2"/>
    <x v="0"/>
    <x v="0"/>
  </r>
  <r>
    <x v="264"/>
    <s v="Randy Pausch"/>
    <x v="0"/>
    <x v="0"/>
    <n v="4028"/>
    <s v=" Normal"/>
    <n v="9"/>
    <s v="Normal"/>
    <x v="7"/>
    <x v="1"/>
    <x v="0"/>
  </r>
  <r>
    <x v="265"/>
    <s v="Rick Riordan"/>
    <x v="2"/>
    <x v="0"/>
    <n v="4628"/>
    <s v=" Normal"/>
    <n v="7"/>
    <s v="Normal"/>
    <x v="7"/>
    <x v="1"/>
    <x v="1"/>
  </r>
  <r>
    <x v="265"/>
    <s v="Rick Riordan"/>
    <x v="2"/>
    <x v="0"/>
    <n v="4628"/>
    <s v=" Normal"/>
    <n v="7"/>
    <s v="Normal"/>
    <x v="6"/>
    <x v="1"/>
    <x v="1"/>
  </r>
  <r>
    <x v="266"/>
    <s v="Patrick Thorpe"/>
    <x v="8"/>
    <x v="0"/>
    <n v="5396"/>
    <s v=" Normal"/>
    <n v="20"/>
    <s v="Normal"/>
    <x v="9"/>
    <x v="1"/>
    <x v="1"/>
  </r>
  <r>
    <x v="267"/>
    <s v="Daniel Lipkowitz"/>
    <x v="3"/>
    <x v="0"/>
    <n v="4247"/>
    <s v=" Normal"/>
    <n v="13"/>
    <s v="Normal"/>
    <x v="1"/>
    <x v="1"/>
    <x v="0"/>
  </r>
  <r>
    <x v="267"/>
    <s v="Daniel Lipkowitz"/>
    <x v="3"/>
    <x v="0"/>
    <n v="4247"/>
    <s v=" Normal"/>
    <n v="13"/>
    <s v="Normal"/>
    <x v="10"/>
    <x v="1"/>
    <x v="0"/>
  </r>
  <r>
    <x v="268"/>
    <s v="Marie KondÅ"/>
    <x v="4"/>
    <x v="0"/>
    <n v="22641"/>
    <s v=" Normal"/>
    <n v="11"/>
    <s v="Normal"/>
    <x v="8"/>
    <x v="0"/>
    <x v="0"/>
  </r>
  <r>
    <x v="268"/>
    <s v="Marie KondÅ"/>
    <x v="4"/>
    <x v="0"/>
    <n v="22641"/>
    <s v=" Normal"/>
    <n v="11"/>
    <s v="Normal"/>
    <x v="0"/>
    <x v="0"/>
    <x v="0"/>
  </r>
  <r>
    <x v="268"/>
    <s v="Marie KondÅ"/>
    <x v="4"/>
    <x v="0"/>
    <n v="22641"/>
    <s v=" Normal"/>
    <n v="11"/>
    <s v="Normal"/>
    <x v="3"/>
    <x v="0"/>
    <x v="0"/>
  </r>
  <r>
    <x v="268"/>
    <s v="Marie KondÅ"/>
    <x v="4"/>
    <x v="0"/>
    <n v="22641"/>
    <s v=" Normal"/>
    <n v="11"/>
    <s v="Normal"/>
    <x v="4"/>
    <x v="0"/>
    <x v="0"/>
  </r>
  <r>
    <x v="269"/>
    <s v="John Grisham"/>
    <x v="3"/>
    <x v="0"/>
    <n v="6222"/>
    <s v=" Normal"/>
    <n v="18"/>
    <s v="Normal"/>
    <x v="1"/>
    <x v="1"/>
    <x v="1"/>
  </r>
  <r>
    <x v="270"/>
    <s v="Rick Riordan"/>
    <x v="2"/>
    <x v="0"/>
    <n v="4506"/>
    <s v=" Normal"/>
    <n v="14"/>
    <s v="Normal"/>
    <x v="6"/>
    <x v="1"/>
    <x v="1"/>
  </r>
  <r>
    <x v="271"/>
    <s v="Dan Brown"/>
    <x v="7"/>
    <x v="0"/>
    <n v="8747"/>
    <s v=" Normal"/>
    <n v="19"/>
    <s v="Normal"/>
    <x v="7"/>
    <x v="1"/>
    <x v="1"/>
  </r>
  <r>
    <x v="272"/>
    <s v="Stephen Kendrick"/>
    <x v="2"/>
    <x v="0"/>
    <n v="1655"/>
    <s v=" Normal"/>
    <n v="13"/>
    <s v="Normal"/>
    <x v="7"/>
    <x v="1"/>
    <x v="0"/>
  </r>
  <r>
    <x v="273"/>
    <s v="Chip Gaines"/>
    <x v="8"/>
    <x v="0"/>
    <n v="7861"/>
    <s v=" Normal"/>
    <n v="5"/>
    <s v="Normal"/>
    <x v="0"/>
    <x v="0"/>
    <x v="0"/>
  </r>
  <r>
    <x v="274"/>
    <s v="Rick Riordan"/>
    <x v="2"/>
    <x v="0"/>
    <n v="6247"/>
    <s v=" Normal"/>
    <n v="10"/>
    <s v="Normal"/>
    <x v="10"/>
    <x v="1"/>
    <x v="1"/>
  </r>
  <r>
    <x v="275"/>
    <s v="Andy Weir"/>
    <x v="0"/>
    <x v="0"/>
    <n v="39459"/>
    <s v="Outlier"/>
    <n v="9"/>
    <s v="Normal"/>
    <x v="8"/>
    <x v="0"/>
    <x v="1"/>
  </r>
  <r>
    <x v="276"/>
    <s v="James Dashner"/>
    <x v="4"/>
    <x v="0"/>
    <n v="10101"/>
    <s v=" Normal"/>
    <n v="8"/>
    <s v="Normal"/>
    <x v="5"/>
    <x v="1"/>
    <x v="1"/>
  </r>
  <r>
    <x v="277"/>
    <s v="Jeff Kinney"/>
    <x v="2"/>
    <x v="0"/>
    <n v="5898"/>
    <s v=" Normal"/>
    <n v="8"/>
    <s v="Normal"/>
    <x v="2"/>
    <x v="0"/>
    <x v="1"/>
  </r>
  <r>
    <x v="278"/>
    <s v="The Washington Post"/>
    <x v="1"/>
    <x v="0"/>
    <n v="2744"/>
    <s v=" Normal"/>
    <n v="12"/>
    <s v="Normal"/>
    <x v="4"/>
    <x v="0"/>
    <x v="0"/>
  </r>
  <r>
    <x v="279"/>
    <s v="Kristin Hannah"/>
    <x v="2"/>
    <x v="0"/>
    <n v="49288"/>
    <s v="Outlier"/>
    <n v="11"/>
    <s v="Normal"/>
    <x v="8"/>
    <x v="0"/>
    <x v="1"/>
  </r>
  <r>
    <x v="279"/>
    <s v="Kristin Hannah"/>
    <x v="2"/>
    <x v="0"/>
    <n v="49288"/>
    <s v="Outlier"/>
    <n v="11"/>
    <s v="Normal"/>
    <x v="0"/>
    <x v="0"/>
    <x v="1"/>
  </r>
  <r>
    <x v="280"/>
    <s v="The College Board"/>
    <x v="3"/>
    <x v="0"/>
    <n v="1201"/>
    <s v=" Normal"/>
    <n v="40"/>
    <s v="Outlier"/>
    <x v="6"/>
    <x v="1"/>
    <x v="0"/>
  </r>
  <r>
    <x v="280"/>
    <s v="The College Board"/>
    <x v="3"/>
    <x v="0"/>
    <n v="1201"/>
    <s v=" Normal"/>
    <n v="40"/>
    <s v="Outlier"/>
    <x v="1"/>
    <x v="1"/>
    <x v="0"/>
  </r>
  <r>
    <x v="280"/>
    <s v="The College Board"/>
    <x v="3"/>
    <x v="0"/>
    <n v="1201"/>
    <s v=" Normal"/>
    <n v="40"/>
    <s v="Outlier"/>
    <x v="10"/>
    <x v="1"/>
    <x v="0"/>
  </r>
  <r>
    <x v="280"/>
    <s v="The College Board"/>
    <x v="3"/>
    <x v="0"/>
    <n v="1201"/>
    <s v=" Normal"/>
    <n v="40"/>
    <s v="Outlier"/>
    <x v="9"/>
    <x v="1"/>
    <x v="0"/>
  </r>
  <r>
    <x v="280"/>
    <s v="The College Board"/>
    <x v="3"/>
    <x v="0"/>
    <n v="1201"/>
    <s v=" Normal"/>
    <n v="40"/>
    <s v="Outlier"/>
    <x v="5"/>
    <x v="1"/>
    <x v="0"/>
  </r>
  <r>
    <x v="281"/>
    <s v="The College Board"/>
    <x v="6"/>
    <x v="0"/>
    <n v="807"/>
    <s v=" Normal"/>
    <n v="36"/>
    <s v="Outlier"/>
    <x v="0"/>
    <x v="0"/>
    <x v="0"/>
  </r>
  <r>
    <x v="282"/>
    <s v="Paula McLain"/>
    <x v="6"/>
    <x v="0"/>
    <n v="3759"/>
    <s v=" Normal"/>
    <n v="16"/>
    <s v="Normal"/>
    <x v="1"/>
    <x v="1"/>
    <x v="1"/>
  </r>
  <r>
    <x v="283"/>
    <s v="Ree Drummond"/>
    <x v="2"/>
    <x v="0"/>
    <n v="2663"/>
    <s v=" Normal"/>
    <n v="17"/>
    <s v="Normal"/>
    <x v="9"/>
    <x v="1"/>
    <x v="0"/>
  </r>
  <r>
    <x v="284"/>
    <s v="Ree Drummond"/>
    <x v="2"/>
    <x v="0"/>
    <n v="3428"/>
    <s v=" Normal"/>
    <n v="14"/>
    <s v="Normal"/>
    <x v="8"/>
    <x v="0"/>
    <x v="0"/>
  </r>
  <r>
    <x v="285"/>
    <s v="Ree Drummond"/>
    <x v="2"/>
    <x v="0"/>
    <n v="2876"/>
    <s v=" Normal"/>
    <n v="21"/>
    <s v="Normal"/>
    <x v="10"/>
    <x v="1"/>
    <x v="0"/>
  </r>
  <r>
    <x v="286"/>
    <s v="Dr. Steven R Gundry MD"/>
    <x v="4"/>
    <x v="0"/>
    <n v="3601"/>
    <s v=" Normal"/>
    <n v="18"/>
    <s v="Normal"/>
    <x v="2"/>
    <x v="0"/>
    <x v="0"/>
  </r>
  <r>
    <x v="287"/>
    <s v="Dr. Steven R Gundry MD"/>
    <x v="3"/>
    <x v="0"/>
    <n v="7058"/>
    <s v=" Normal"/>
    <n v="17"/>
    <s v="Normal"/>
    <x v="2"/>
    <x v="0"/>
    <x v="0"/>
  </r>
  <r>
    <x v="288"/>
    <s v="Deborah Diesen"/>
    <x v="2"/>
    <x v="0"/>
    <n v="9784"/>
    <s v=" Normal"/>
    <n v="5"/>
    <s v="Normal"/>
    <x v="3"/>
    <x v="0"/>
    <x v="1"/>
  </r>
  <r>
    <x v="288"/>
    <s v="Deborah Diesen"/>
    <x v="2"/>
    <x v="0"/>
    <n v="9784"/>
    <s v=" Normal"/>
    <n v="5"/>
    <s v="Normal"/>
    <x v="2"/>
    <x v="0"/>
    <x v="1"/>
  </r>
  <r>
    <x v="289"/>
    <s v="Charles Duhigg"/>
    <x v="1"/>
    <x v="0"/>
    <n v="10795"/>
    <s v=" Normal"/>
    <n v="21"/>
    <s v="Normal"/>
    <x v="10"/>
    <x v="1"/>
    <x v="0"/>
  </r>
  <r>
    <x v="290"/>
    <s v="James Patterson"/>
    <x v="6"/>
    <x v="0"/>
    <n v="10191"/>
    <s v=" Normal"/>
    <n v="18"/>
    <s v="Normal"/>
    <x v="2"/>
    <x v="0"/>
    <x v="1"/>
  </r>
  <r>
    <x v="291"/>
    <s v="John Grisham"/>
    <x v="6"/>
    <x v="0"/>
    <n v="14493"/>
    <s v=" Normal"/>
    <n v="18"/>
    <s v="Normal"/>
    <x v="10"/>
    <x v="1"/>
    <x v="1"/>
  </r>
  <r>
    <x v="292"/>
    <s v="Rick Riordan"/>
    <x v="1"/>
    <x v="0"/>
    <n v="2186"/>
    <s v=" Normal"/>
    <n v="12"/>
    <s v="Normal"/>
    <x v="6"/>
    <x v="1"/>
    <x v="1"/>
  </r>
  <r>
    <x v="293"/>
    <s v="F. A. Hayek"/>
    <x v="1"/>
    <x v="0"/>
    <n v="1204"/>
    <s v=" Normal"/>
    <n v="14"/>
    <s v="Normal"/>
    <x v="6"/>
    <x v="1"/>
    <x v="0"/>
  </r>
  <r>
    <x v="294"/>
    <s v="Rick Riordan"/>
    <x v="2"/>
    <x v="0"/>
    <n v="2091"/>
    <s v=" Normal"/>
    <n v="12"/>
    <s v="Normal"/>
    <x v="10"/>
    <x v="1"/>
    <x v="1"/>
  </r>
  <r>
    <x v="295"/>
    <s v="William P. Young"/>
    <x v="1"/>
    <x v="0"/>
    <n v="19720"/>
    <s v=" Normal"/>
    <n v="8"/>
    <s v="Normal"/>
    <x v="7"/>
    <x v="1"/>
    <x v="1"/>
  </r>
  <r>
    <x v="295"/>
    <s v="William P. Young"/>
    <x v="1"/>
    <x v="0"/>
    <n v="19720"/>
    <s v=" Normal"/>
    <n v="8"/>
    <s v="Normal"/>
    <x v="3"/>
    <x v="0"/>
    <x v="1"/>
  </r>
  <r>
    <x v="296"/>
    <s v="Stephenie Meyer"/>
    <x v="1"/>
    <x v="0"/>
    <n v="2122"/>
    <s v=" Normal"/>
    <n v="0"/>
    <s v="Normal"/>
    <x v="6"/>
    <x v="1"/>
    <x v="1"/>
  </r>
  <r>
    <x v="297"/>
    <s v="Alex Michaelides"/>
    <x v="4"/>
    <x v="0"/>
    <n v="27536"/>
    <s v=" Normal"/>
    <n v="14"/>
    <s v="Normal"/>
    <x v="4"/>
    <x v="0"/>
    <x v="1"/>
  </r>
  <r>
    <x v="298"/>
    <s v="Rick Riordan"/>
    <x v="2"/>
    <x v="0"/>
    <n v="4290"/>
    <s v=" Normal"/>
    <n v="10"/>
    <s v="Normal"/>
    <x v="1"/>
    <x v="1"/>
    <x v="1"/>
  </r>
  <r>
    <x v="299"/>
    <s v="Mark Manson"/>
    <x v="1"/>
    <x v="0"/>
    <n v="26490"/>
    <s v=" Normal"/>
    <n v="15"/>
    <s v="Normal"/>
    <x v="3"/>
    <x v="0"/>
    <x v="0"/>
  </r>
  <r>
    <x v="299"/>
    <s v="Mark Manson"/>
    <x v="1"/>
    <x v="0"/>
    <n v="26490"/>
    <s v=" Normal"/>
    <n v="15"/>
    <s v="Normal"/>
    <x v="2"/>
    <x v="0"/>
    <x v="0"/>
  </r>
  <r>
    <x v="299"/>
    <s v="Mark Manson"/>
    <x v="1"/>
    <x v="0"/>
    <n v="26490"/>
    <s v=" Normal"/>
    <n v="15"/>
    <s v="Normal"/>
    <x v="4"/>
    <x v="0"/>
    <x v="0"/>
  </r>
  <r>
    <x v="300"/>
    <s v="Rupi Kaur"/>
    <x v="0"/>
    <x v="0"/>
    <n v="5487"/>
    <s v=" Normal"/>
    <n v="9"/>
    <s v="Normal"/>
    <x v="3"/>
    <x v="0"/>
    <x v="0"/>
  </r>
  <r>
    <x v="301"/>
    <s v="Jeff Kinney"/>
    <x v="0"/>
    <x v="0"/>
    <n v="6377"/>
    <s v=" Normal"/>
    <n v="7"/>
    <s v="Normal"/>
    <x v="10"/>
    <x v="1"/>
    <x v="1"/>
  </r>
  <r>
    <x v="302"/>
    <s v="Rick Riordan"/>
    <x v="0"/>
    <x v="0"/>
    <n v="1463"/>
    <s v=" Normal"/>
    <n v="10"/>
    <s v="Normal"/>
    <x v="1"/>
    <x v="1"/>
    <x v="1"/>
  </r>
  <r>
    <x v="303"/>
    <s v="Audrey Niffenegger"/>
    <x v="3"/>
    <x v="0"/>
    <n v="3759"/>
    <s v=" Normal"/>
    <n v="6"/>
    <s v="Normal"/>
    <x v="7"/>
    <x v="1"/>
    <x v="1"/>
  </r>
  <r>
    <x v="304"/>
    <s v="Malcolm Gladwell"/>
    <x v="3"/>
    <x v="0"/>
    <n v="3503"/>
    <s v=" Normal"/>
    <n v="9"/>
    <s v="Normal"/>
    <x v="7"/>
    <x v="1"/>
    <x v="0"/>
  </r>
  <r>
    <x v="305"/>
    <s v="Dave Ramsey"/>
    <x v="0"/>
    <x v="0"/>
    <n v="11550"/>
    <s v=" Normal"/>
    <n v="10"/>
    <s v="Normal"/>
    <x v="4"/>
    <x v="0"/>
    <x v="0"/>
  </r>
  <r>
    <x v="306"/>
    <s v="Stephenie Meyer"/>
    <x v="0"/>
    <x v="0"/>
    <n v="3801"/>
    <s v=" Normal"/>
    <n v="82"/>
    <s v="Outlier"/>
    <x v="7"/>
    <x v="1"/>
    <x v="1"/>
  </r>
  <r>
    <x v="307"/>
    <s v="Jeff Kinney"/>
    <x v="2"/>
    <x v="0"/>
    <n v="3796"/>
    <s v=" Normal"/>
    <n v="12"/>
    <s v="Normal"/>
    <x v="6"/>
    <x v="1"/>
    <x v="1"/>
  </r>
  <r>
    <x v="308"/>
    <s v="Dinah Bucholz"/>
    <x v="0"/>
    <x v="0"/>
    <n v="9030"/>
    <s v=" Normal"/>
    <n v="10"/>
    <s v="Normal"/>
    <x v="4"/>
    <x v="0"/>
    <x v="0"/>
  </r>
  <r>
    <x v="309"/>
    <s v="Eric Carle"/>
    <x v="8"/>
    <x v="0"/>
    <n v="19546"/>
    <s v=" Normal"/>
    <n v="5"/>
    <s v="Normal"/>
    <x v="9"/>
    <x v="1"/>
    <x v="1"/>
  </r>
  <r>
    <x v="309"/>
    <s v="Eric Carle"/>
    <x v="8"/>
    <x v="0"/>
    <n v="19546"/>
    <s v=" Normal"/>
    <n v="5"/>
    <s v="Normal"/>
    <x v="5"/>
    <x v="1"/>
    <x v="1"/>
  </r>
  <r>
    <x v="309"/>
    <s v="Eric Carle"/>
    <x v="8"/>
    <x v="0"/>
    <n v="19546"/>
    <s v=" Normal"/>
    <n v="5"/>
    <s v="Normal"/>
    <x v="8"/>
    <x v="0"/>
    <x v="1"/>
  </r>
  <r>
    <x v="309"/>
    <s v="Eric Carle"/>
    <x v="8"/>
    <x v="0"/>
    <n v="19546"/>
    <s v=" Normal"/>
    <n v="5"/>
    <s v="Normal"/>
    <x v="0"/>
    <x v="0"/>
    <x v="1"/>
  </r>
  <r>
    <x v="309"/>
    <s v="Eric Carle"/>
    <x v="8"/>
    <x v="0"/>
    <n v="19546"/>
    <s v=" Normal"/>
    <n v="5"/>
    <s v="Normal"/>
    <x v="3"/>
    <x v="0"/>
    <x v="1"/>
  </r>
  <r>
    <x v="309"/>
    <s v="Eric Carle"/>
    <x v="8"/>
    <x v="0"/>
    <n v="19546"/>
    <s v=" Normal"/>
    <n v="5"/>
    <s v="Normal"/>
    <x v="2"/>
    <x v="0"/>
    <x v="1"/>
  </r>
  <r>
    <x v="309"/>
    <s v="Eric Carle"/>
    <x v="8"/>
    <x v="0"/>
    <n v="19546"/>
    <s v=" Normal"/>
    <n v="5"/>
    <s v="Normal"/>
    <x v="4"/>
    <x v="0"/>
    <x v="1"/>
  </r>
  <r>
    <x v="310"/>
    <s v="Melissa Hartwig Urban"/>
    <x v="1"/>
    <x v="0"/>
    <n v="7508"/>
    <s v=" Normal"/>
    <n v="16"/>
    <s v="Normal"/>
    <x v="8"/>
    <x v="0"/>
    <x v="0"/>
  </r>
  <r>
    <x v="310"/>
    <s v="Melissa Hartwig Urban"/>
    <x v="1"/>
    <x v="0"/>
    <n v="7508"/>
    <s v=" Normal"/>
    <n v="16"/>
    <s v="Normal"/>
    <x v="0"/>
    <x v="0"/>
    <x v="0"/>
  </r>
  <r>
    <x v="310"/>
    <s v="Melissa Hartwig Urban"/>
    <x v="1"/>
    <x v="0"/>
    <n v="7508"/>
    <s v=" Normal"/>
    <n v="16"/>
    <s v="Normal"/>
    <x v="3"/>
    <x v="0"/>
    <x v="0"/>
  </r>
  <r>
    <x v="311"/>
    <s v="Emily Winfield Martin"/>
    <x v="8"/>
    <x v="0"/>
    <n v="8842"/>
    <s v=" Normal"/>
    <n v="10"/>
    <s v="Normal"/>
    <x v="0"/>
    <x v="0"/>
    <x v="1"/>
  </r>
  <r>
    <x v="311"/>
    <s v="Emily Winfield Martin"/>
    <x v="8"/>
    <x v="0"/>
    <n v="8842"/>
    <s v=" Normal"/>
    <n v="10"/>
    <s v="Normal"/>
    <x v="3"/>
    <x v="0"/>
    <x v="1"/>
  </r>
  <r>
    <x v="311"/>
    <s v="Emily Winfield Martin"/>
    <x v="8"/>
    <x v="0"/>
    <n v="8842"/>
    <s v=" Normal"/>
    <n v="10"/>
    <s v="Normal"/>
    <x v="2"/>
    <x v="0"/>
    <x v="1"/>
  </r>
  <r>
    <x v="311"/>
    <s v="Emily Winfield Martin"/>
    <x v="8"/>
    <x v="0"/>
    <n v="8842"/>
    <s v=" Normal"/>
    <n v="10"/>
    <s v="Normal"/>
    <x v="4"/>
    <x v="0"/>
    <x v="1"/>
  </r>
  <r>
    <x v="312"/>
    <s v="Craig Smith"/>
    <x v="2"/>
    <x v="0"/>
    <n v="30183"/>
    <s v=" Normal"/>
    <n v="4"/>
    <s v="Normal"/>
    <x v="2"/>
    <x v="0"/>
    <x v="1"/>
  </r>
  <r>
    <x v="312"/>
    <s v="Craig Smith"/>
    <x v="2"/>
    <x v="0"/>
    <n v="30183"/>
    <s v=" Normal"/>
    <n v="4"/>
    <s v="Normal"/>
    <x v="4"/>
    <x v="0"/>
    <x v="1"/>
  </r>
  <r>
    <x v="313"/>
    <s v="David McCullough"/>
    <x v="0"/>
    <x v="0"/>
    <n v="6169"/>
    <s v=" Normal"/>
    <n v="16"/>
    <s v="Normal"/>
    <x v="8"/>
    <x v="0"/>
    <x v="0"/>
  </r>
  <r>
    <x v="314"/>
    <s v="Charles Krauthammer"/>
    <x v="0"/>
    <x v="0"/>
    <n v="7034"/>
    <s v=" Normal"/>
    <n v="15"/>
    <s v="Normal"/>
    <x v="9"/>
    <x v="1"/>
    <x v="0"/>
  </r>
  <r>
    <x v="315"/>
    <s v="Daniel Kahneman"/>
    <x v="1"/>
    <x v="0"/>
    <n v="11034"/>
    <s v=" Normal"/>
    <n v="19"/>
    <s v="Normal"/>
    <x v="1"/>
    <x v="1"/>
    <x v="0"/>
  </r>
  <r>
    <x v="315"/>
    <s v="Daniel Kahneman"/>
    <x v="1"/>
    <x v="0"/>
    <n v="11034"/>
    <s v=" Normal"/>
    <n v="19"/>
    <s v="Normal"/>
    <x v="10"/>
    <x v="1"/>
    <x v="0"/>
  </r>
  <r>
    <x v="316"/>
    <s v="Jay Asher"/>
    <x v="4"/>
    <x v="0"/>
    <n v="7932"/>
    <s v=" Normal"/>
    <n v="9"/>
    <s v="Normal"/>
    <x v="3"/>
    <x v="0"/>
    <x v="1"/>
  </r>
  <r>
    <x v="317"/>
    <s v="Jon Meacham"/>
    <x v="4"/>
    <x v="0"/>
    <n v="1904"/>
    <s v=" Normal"/>
    <n v="23"/>
    <s v="Normal"/>
    <x v="10"/>
    <x v="1"/>
    <x v="0"/>
  </r>
  <r>
    <x v="318"/>
    <s v="Greg Mortenson"/>
    <x v="6"/>
    <x v="0"/>
    <n v="3319"/>
    <s v=" Normal"/>
    <n v="11"/>
    <s v="Normal"/>
    <x v="7"/>
    <x v="1"/>
    <x v="0"/>
  </r>
  <r>
    <x v="318"/>
    <s v="Greg Mortenson"/>
    <x v="6"/>
    <x v="0"/>
    <n v="3319"/>
    <s v=" Normal"/>
    <n v="11"/>
    <s v="Normal"/>
    <x v="6"/>
    <x v="1"/>
    <x v="0"/>
  </r>
  <r>
    <x v="319"/>
    <s v="Thug Kitchen"/>
    <x v="1"/>
    <x v="0"/>
    <n v="11128"/>
    <s v=" Normal"/>
    <n v="23"/>
    <s v="Normal"/>
    <x v="5"/>
    <x v="1"/>
    <x v="0"/>
  </r>
  <r>
    <x v="319"/>
    <s v="Thug Kitchen"/>
    <x v="1"/>
    <x v="0"/>
    <n v="11128"/>
    <s v=" Normal"/>
    <n v="23"/>
    <s v="Normal"/>
    <x v="8"/>
    <x v="0"/>
    <x v="0"/>
  </r>
  <r>
    <x v="319"/>
    <s v="Thug Kitchen"/>
    <x v="1"/>
    <x v="0"/>
    <n v="11128"/>
    <s v=" Normal"/>
    <n v="23"/>
    <s v="Normal"/>
    <x v="0"/>
    <x v="0"/>
    <x v="0"/>
  </r>
  <r>
    <x v="319"/>
    <s v="Thug Kitchen"/>
    <x v="1"/>
    <x v="0"/>
    <n v="11128"/>
    <s v=" Normal"/>
    <n v="23"/>
    <s v="Normal"/>
    <x v="3"/>
    <x v="0"/>
    <x v="0"/>
  </r>
  <r>
    <x v="320"/>
    <s v="Tina Fey"/>
    <x v="6"/>
    <x v="0"/>
    <n v="5977"/>
    <s v=" Normal"/>
    <n v="12"/>
    <s v="Normal"/>
    <x v="1"/>
    <x v="1"/>
    <x v="0"/>
  </r>
  <r>
    <x v="321"/>
    <s v="Harper Lee"/>
    <x v="2"/>
    <x v="0"/>
    <n v="26234"/>
    <s v=" Normal"/>
    <n v="0"/>
    <s v="Normal"/>
    <x v="9"/>
    <x v="1"/>
    <x v="1"/>
  </r>
  <r>
    <x v="321"/>
    <s v="Harper Lee"/>
    <x v="2"/>
    <x v="0"/>
    <n v="26234"/>
    <s v=" Normal"/>
    <n v="0"/>
    <s v="Normal"/>
    <x v="5"/>
    <x v="1"/>
    <x v="1"/>
  </r>
  <r>
    <x v="321"/>
    <s v="Harper Lee"/>
    <x v="2"/>
    <x v="0"/>
    <n v="26234"/>
    <s v=" Normal"/>
    <n v="0"/>
    <s v="Normal"/>
    <x v="8"/>
    <x v="0"/>
    <x v="1"/>
  </r>
  <r>
    <x v="321"/>
    <s v="Harper Lee"/>
    <x v="2"/>
    <x v="0"/>
    <n v="26234"/>
    <s v=" Normal"/>
    <n v="0"/>
    <s v="Normal"/>
    <x v="0"/>
    <x v="0"/>
    <x v="1"/>
  </r>
  <r>
    <x v="321"/>
    <s v="Harper Lee"/>
    <x v="2"/>
    <x v="0"/>
    <n v="26234"/>
    <s v=" Normal"/>
    <n v="7"/>
    <s v="Normal"/>
    <x v="4"/>
    <x v="0"/>
    <x v="1"/>
  </r>
  <r>
    <x v="322"/>
    <s v="Timothy Ferriss"/>
    <x v="1"/>
    <x v="0"/>
    <n v="4360"/>
    <s v=" Normal"/>
    <n v="21"/>
    <s v="Normal"/>
    <x v="3"/>
    <x v="0"/>
    <x v="0"/>
  </r>
  <r>
    <x v="323"/>
    <s v="Robert Jordan"/>
    <x v="2"/>
    <x v="0"/>
    <n v="2282"/>
    <s v=" Normal"/>
    <n v="21"/>
    <s v="Normal"/>
    <x v="6"/>
    <x v="1"/>
    <x v="1"/>
  </r>
  <r>
    <x v="324"/>
    <s v="Edward M. Kennedy"/>
    <x v="4"/>
    <x v="0"/>
    <n v="438"/>
    <s v=" Normal"/>
    <n v="15"/>
    <s v="Normal"/>
    <x v="7"/>
    <x v="1"/>
    <x v="0"/>
  </r>
  <r>
    <x v="325"/>
    <s v="Stephenie Meyer"/>
    <x v="0"/>
    <x v="0"/>
    <n v="11676"/>
    <s v=" Normal"/>
    <n v="9"/>
    <s v="Normal"/>
    <x v="7"/>
    <x v="1"/>
    <x v="1"/>
  </r>
  <r>
    <x v="326"/>
    <s v="DK"/>
    <x v="4"/>
    <x v="0"/>
    <n v="2586"/>
    <s v=" Normal"/>
    <n v="5"/>
    <s v="Normal"/>
    <x v="5"/>
    <x v="1"/>
    <x v="1"/>
  </r>
  <r>
    <x v="327"/>
    <s v="Laura Hillenbrand"/>
    <x v="2"/>
    <x v="0"/>
    <n v="29673"/>
    <s v=" Normal"/>
    <n v="16"/>
    <s v="Normal"/>
    <x v="6"/>
    <x v="1"/>
    <x v="0"/>
  </r>
  <r>
    <x v="327"/>
    <s v="Laura Hillenbrand"/>
    <x v="2"/>
    <x v="0"/>
    <n v="29673"/>
    <s v=" Normal"/>
    <n v="16"/>
    <s v="Normal"/>
    <x v="1"/>
    <x v="1"/>
    <x v="0"/>
  </r>
  <r>
    <x v="327"/>
    <s v="Laura Hillenbrand"/>
    <x v="2"/>
    <x v="0"/>
    <n v="29673"/>
    <s v=" Normal"/>
    <n v="16"/>
    <s v="Normal"/>
    <x v="10"/>
    <x v="1"/>
    <x v="0"/>
  </r>
  <r>
    <x v="327"/>
    <s v="Laura Hillenbrand"/>
    <x v="2"/>
    <x v="0"/>
    <n v="29673"/>
    <s v=" Normal"/>
    <n v="13"/>
    <s v="Normal"/>
    <x v="5"/>
    <x v="1"/>
    <x v="0"/>
  </r>
  <r>
    <x v="327"/>
    <s v="Laura Hillenbrand"/>
    <x v="2"/>
    <x v="0"/>
    <n v="29673"/>
    <s v=" Normal"/>
    <n v="16"/>
    <s v="Normal"/>
    <x v="5"/>
    <x v="1"/>
    <x v="0"/>
  </r>
  <r>
    <x v="328"/>
    <s v="Stephen King"/>
    <x v="6"/>
    <x v="0"/>
    <n v="6740"/>
    <s v=" Normal"/>
    <n v="20"/>
    <s v="Normal"/>
    <x v="7"/>
    <x v="1"/>
    <x v="1"/>
  </r>
  <r>
    <x v="329"/>
    <s v="Mark R. Levin"/>
    <x v="8"/>
    <x v="0"/>
    <n v="5956"/>
    <s v=" Normal"/>
    <n v="11"/>
    <s v="Normal"/>
    <x v="4"/>
    <x v="0"/>
    <x v="0"/>
  </r>
  <r>
    <x v="330"/>
    <s v="Silly Bear"/>
    <x v="2"/>
    <x v="0"/>
    <n v="6108"/>
    <s v=" Normal"/>
    <n v="4"/>
    <s v="Normal"/>
    <x v="4"/>
    <x v="0"/>
    <x v="0"/>
  </r>
  <r>
    <x v="331"/>
    <s v="Lysa TerKeurst"/>
    <x v="0"/>
    <x v="0"/>
    <n v="4585"/>
    <s v=" Normal"/>
    <n v="9"/>
    <s v="Normal"/>
    <x v="0"/>
    <x v="0"/>
    <x v="0"/>
  </r>
  <r>
    <x v="332"/>
    <s v="Alan Moore"/>
    <x v="2"/>
    <x v="0"/>
    <n v="3829"/>
    <s v=" Normal"/>
    <n v="42"/>
    <s v="Outlier"/>
    <x v="7"/>
    <x v="1"/>
    <x v="1"/>
  </r>
  <r>
    <x v="333"/>
    <s v="Sara Gruen"/>
    <x v="4"/>
    <x v="0"/>
    <n v="8958"/>
    <s v=" Normal"/>
    <n v="12"/>
    <s v="Normal"/>
    <x v="1"/>
    <x v="1"/>
    <x v="1"/>
  </r>
  <r>
    <x v="334"/>
    <s v="Hillary Rodham Clinton"/>
    <x v="1"/>
    <x v="0"/>
    <n v="5492"/>
    <s v=" Normal"/>
    <n v="18"/>
    <s v="Normal"/>
    <x v="3"/>
    <x v="0"/>
    <x v="0"/>
  </r>
  <r>
    <x v="335"/>
    <s v="Randall Munroe"/>
    <x v="0"/>
    <x v="0"/>
    <n v="9292"/>
    <s v=" Normal"/>
    <n v="17"/>
    <s v="Normal"/>
    <x v="5"/>
    <x v="1"/>
    <x v="0"/>
  </r>
  <r>
    <x v="336"/>
    <s v="Dr. Seuss"/>
    <x v="0"/>
    <x v="0"/>
    <n v="1873"/>
    <s v=" Normal"/>
    <n v="14"/>
    <s v="Normal"/>
    <x v="8"/>
    <x v="0"/>
    <x v="1"/>
  </r>
  <r>
    <x v="337"/>
    <s v="Adir Levy"/>
    <x v="2"/>
    <x v="0"/>
    <n v="8170"/>
    <s v=" Normal"/>
    <n v="13"/>
    <s v="Normal"/>
    <x v="4"/>
    <x v="0"/>
    <x v="1"/>
  </r>
  <r>
    <x v="338"/>
    <s v="Heidi Murkoff"/>
    <x v="3"/>
    <x v="0"/>
    <n v="3341"/>
    <s v=" Normal"/>
    <n v="9"/>
    <s v="Normal"/>
    <x v="1"/>
    <x v="1"/>
    <x v="0"/>
  </r>
  <r>
    <x v="339"/>
    <s v="William Davis"/>
    <x v="3"/>
    <x v="0"/>
    <n v="7497"/>
    <s v=" Normal"/>
    <n v="6"/>
    <s v="Normal"/>
    <x v="10"/>
    <x v="1"/>
    <x v="0"/>
  </r>
  <r>
    <x v="339"/>
    <s v="William Davis"/>
    <x v="3"/>
    <x v="0"/>
    <n v="7497"/>
    <s v=" Normal"/>
    <n v="6"/>
    <s v="Normal"/>
    <x v="9"/>
    <x v="1"/>
    <x v="0"/>
  </r>
  <r>
    <x v="340"/>
    <s v="Paul Kalanithi"/>
    <x v="2"/>
    <x v="0"/>
    <n v="13779"/>
    <s v=" Normal"/>
    <n v="14"/>
    <s v="Normal"/>
    <x v="0"/>
    <x v="0"/>
    <x v="0"/>
  </r>
  <r>
    <x v="341"/>
    <s v="Delia Owens"/>
    <x v="2"/>
    <x v="0"/>
    <n v="87841"/>
    <s v="Outlier"/>
    <n v="15"/>
    <s v="Normal"/>
    <x v="4"/>
    <x v="0"/>
    <x v="1"/>
  </r>
  <r>
    <x v="342"/>
    <s v="Maurice Sendak"/>
    <x v="2"/>
    <x v="0"/>
    <n v="9967"/>
    <s v=" Normal"/>
    <n v="13"/>
    <s v="Normal"/>
    <x v="7"/>
    <x v="1"/>
    <x v="1"/>
  </r>
  <r>
    <x v="343"/>
    <s v="The Staff of The Late Show withÂ…"/>
    <x v="1"/>
    <x v="0"/>
    <n v="6669"/>
    <s v=" Normal"/>
    <n v="12"/>
    <s v="Normal"/>
    <x v="2"/>
    <x v="0"/>
    <x v="0"/>
  </r>
  <r>
    <x v="344"/>
    <s v="Cheryl Strayed"/>
    <x v="3"/>
    <x v="0"/>
    <n v="17044"/>
    <s v=" Normal"/>
    <n v="18"/>
    <s v="Normal"/>
    <x v="10"/>
    <x v="1"/>
    <x v="0"/>
  </r>
  <r>
    <x v="345"/>
    <s v="Ken Follett"/>
    <x v="4"/>
    <x v="0"/>
    <n v="10760"/>
    <s v=" Normal"/>
    <n v="15"/>
    <s v="Normal"/>
    <x v="10"/>
    <x v="1"/>
    <x v="1"/>
  </r>
  <r>
    <x v="346"/>
    <s v="Geneen Roth"/>
    <x v="7"/>
    <x v="0"/>
    <n v="1302"/>
    <s v=" Normal"/>
    <n v="11"/>
    <s v="Normal"/>
    <x v="6"/>
    <x v="1"/>
    <x v="0"/>
  </r>
  <r>
    <x v="347"/>
    <s v="R. J. Palacio"/>
    <x v="2"/>
    <x v="0"/>
    <n v="21625"/>
    <s v=" Normal"/>
    <n v="9"/>
    <s v="Normal"/>
    <x v="9"/>
    <x v="1"/>
    <x v="1"/>
  </r>
  <r>
    <x v="347"/>
    <s v="R. J. Palacio"/>
    <x v="2"/>
    <x v="0"/>
    <n v="21625"/>
    <s v=" Normal"/>
    <n v="9"/>
    <s v="Normal"/>
    <x v="5"/>
    <x v="1"/>
    <x v="1"/>
  </r>
  <r>
    <x v="347"/>
    <s v="R. J. Palacio"/>
    <x v="2"/>
    <x v="0"/>
    <n v="21625"/>
    <s v=" Normal"/>
    <n v="9"/>
    <s v="Normal"/>
    <x v="8"/>
    <x v="0"/>
    <x v="1"/>
  </r>
  <r>
    <x v="347"/>
    <s v="R. J. Palacio"/>
    <x v="2"/>
    <x v="0"/>
    <n v="21625"/>
    <s v=" Normal"/>
    <n v="9"/>
    <s v="Normal"/>
    <x v="0"/>
    <x v="0"/>
    <x v="1"/>
  </r>
  <r>
    <x v="347"/>
    <s v="R. J. Palacio"/>
    <x v="2"/>
    <x v="0"/>
    <n v="21625"/>
    <s v=" Normal"/>
    <n v="9"/>
    <s v="Normal"/>
    <x v="3"/>
    <x v="0"/>
    <x v="1"/>
  </r>
  <r>
    <x v="348"/>
    <s v="Jeff Kinney"/>
    <x v="8"/>
    <x v="0"/>
    <n v="9413"/>
    <s v=" Normal"/>
    <n v="8"/>
    <s v="Normal"/>
    <x v="4"/>
    <x v="0"/>
    <x v="1"/>
  </r>
  <r>
    <x v="349"/>
    <s v="Jen Sincero"/>
    <x v="0"/>
    <x v="0"/>
    <n v="14331"/>
    <s v=" Normal"/>
    <n v="8"/>
    <s v="Normal"/>
    <x v="0"/>
    <x v="0"/>
    <x v="0"/>
  </r>
  <r>
    <x v="349"/>
    <s v="Jen Sincero"/>
    <x v="0"/>
    <x v="0"/>
    <n v="14331"/>
    <s v=" Normal"/>
    <n v="8"/>
    <s v="Normal"/>
    <x v="3"/>
    <x v="0"/>
    <x v="0"/>
  </r>
  <r>
    <x v="349"/>
    <s v="Jen Sincero"/>
    <x v="0"/>
    <x v="0"/>
    <n v="14331"/>
    <s v=" Normal"/>
    <n v="8"/>
    <s v="Normal"/>
    <x v="2"/>
    <x v="0"/>
    <x v="0"/>
  </r>
  <r>
    <x v="349"/>
    <s v="Jen Sincero"/>
    <x v="0"/>
    <x v="0"/>
    <n v="14331"/>
    <s v=" Normal"/>
    <n v="8"/>
    <s v="Normal"/>
    <x v="4"/>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EE6A6A-F66C-405E-9B78-511B63184D1E}" name="PivotTable1" cacheId="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24:B35" firstHeaderRow="1" firstDataRow="1" firstDataCol="1"/>
  <pivotFields count="4">
    <pivotField allDrilled="1" subtotalTop="0" showAll="0" measureFilter="1" sortType="descending" defaultSubtotal="0" defaultAttributeDrillState="1">
      <items count="1">
        <item x="0"/>
      </items>
    </pivotField>
    <pivotField dataField="1" subtotalTop="0" showAll="0" defaultSubtotal="0"/>
    <pivotField axis="axisRow" allDrilled="1" subtotalTop="0" showAll="0" measureFilter="1"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Items count="1">
    <i/>
  </colItems>
  <dataFields count="1">
    <dataField name="Average of User_Rating" fld="1" subtotal="average" baseField="0" baseItem="0"/>
  </dataFields>
  <pivotHierarchies count="2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caption="Sum of Reviews"/>
    <pivotHierarchy dragToData="1" caption="Max of Reviews"/>
    <pivotHierarchy dragToData="1"/>
    <pivotHierarchy dragToData="1" caption="Average of Price"/>
    <pivotHierarchy dragToData="1"/>
    <pivotHierarchy dragToData="1"/>
    <pivotHierarchy dragToData="1"/>
  </pivotHierarchies>
  <pivotTableStyleInfo name="PivotStyleLight16" showRowHeaders="1" showColHeaders="1" showRowStripes="0" showColStripes="0" showLastColumn="1"/>
  <filters count="2">
    <filter fld="0" type="count" id="6" iMeasureHier="15">
      <autoFilter ref="A1">
        <filterColumn colId="0">
          <top10 val="1" filterVal="1"/>
        </filterColumn>
      </autoFilter>
    </filter>
    <filter fld="2" type="count" id="7" iMeasureHier="14">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Fiction or Non-Fiction has better ratings on average"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H29:I32" firstHeaderRow="1" firstDataRow="1" firstDataCol="1"/>
  <pivotFields count="3">
    <pivotField allDrilled="1" subtotalTop="0" showAll="0" measureFilter="1" sortType="ascending" defaultSubtotal="0" defaultAttributeDrillState="1">
      <items count="5">
        <item x="0"/>
        <item x="1"/>
        <item x="2"/>
        <item x="3"/>
        <item x="4"/>
      </items>
    </pivotField>
    <pivotField dataField="1" subtotalTop="0" showAll="0" defaultSubtotal="0"/>
    <pivotField axis="axisRow" allDrilled="1" subtotalTop="0" showAll="0" dataSourceSort="1" defaultSubtotal="0" defaultAttributeDrillState="1">
      <items count="2">
        <item x="0"/>
        <item x="1"/>
      </items>
    </pivotField>
  </pivotFields>
  <rowFields count="1">
    <field x="2"/>
  </rowFields>
  <rowItems count="3">
    <i>
      <x/>
    </i>
    <i>
      <x v="1"/>
    </i>
    <i t="grand">
      <x/>
    </i>
  </rowItems>
  <colItems count="1">
    <i/>
  </colItems>
  <dataFields count="1">
    <dataField name="Average of User_Rating" fld="1" subtotal="average" baseField="0" baseItem="0"/>
  </dataFields>
  <pivotHierarchies count="2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4">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 Proportion of Fiction vs. Non-Fiction" cacheId="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C48:D59" firstHeaderRow="1" firstDataRow="1" firstDataCol="1"/>
  <pivotFields count="4">
    <pivotField allDrilled="1" subtotalTop="0" showAll="0" measureFilter="1" defaultSubtotal="0" defaultAttributeDrillState="1">
      <items count="10">
        <item x="0"/>
        <item x="1"/>
        <item x="2"/>
        <item x="3"/>
        <item x="4"/>
        <item x="5"/>
        <item x="6"/>
        <item x="7"/>
        <item x="8"/>
        <item x="9"/>
      </items>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11">
    <i>
      <x v="7"/>
    </i>
    <i>
      <x v="5"/>
    </i>
    <i>
      <x v="9"/>
    </i>
    <i>
      <x v="1"/>
    </i>
    <i>
      <x v="6"/>
    </i>
    <i>
      <x v="2"/>
    </i>
    <i>
      <x v="8"/>
    </i>
    <i>
      <x v="3"/>
    </i>
    <i>
      <x/>
    </i>
    <i>
      <x v="4"/>
    </i>
    <i t="grand">
      <x/>
    </i>
  </rowItems>
  <colItems count="1">
    <i/>
  </colItems>
  <dataFields count="1">
    <dataField name="Average of User_Rating" fld="2" subtotal="average" baseField="1" baseItem="10"/>
  </dataFields>
  <pivotHierarchies count="2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caption="Sum of Reviews"/>
    <pivotHierarchy dragToData="1" caption="Max of Reviews"/>
    <pivotHierarchy dragToData="1"/>
    <pivotHierarchy dragToData="1" caption="Average of Price"/>
    <pivotHierarchy dragToData="1"/>
    <pivotHierarchy dragToData="1"/>
    <pivotHierarchy dragToData="1"/>
  </pivotHierarchies>
  <pivotTableStyleInfo name="PivotStyleLight16" showRowHeaders="1" showColHeaders="1" showRowStripes="0" showColStripes="0" showLastColumn="1"/>
  <filters count="2">
    <filter fld="0" type="count" id="6" iMeasureHier="15">
      <autoFilter ref="A1">
        <filterColumn colId="0">
          <top10 val="10" filterVal="10"/>
        </filterColumn>
      </autoFilter>
    </filter>
    <filter fld="1" type="count" id="7" iMeasureHier="14">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books with most reviews" cacheId="1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8">
  <location ref="H35:I46"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3"/>
    </i>
    <i>
      <x v="8"/>
    </i>
    <i>
      <x v="1"/>
    </i>
    <i>
      <x v="9"/>
    </i>
    <i>
      <x v="5"/>
    </i>
    <i>
      <x v="4"/>
    </i>
    <i>
      <x v="2"/>
    </i>
    <i>
      <x v="6"/>
    </i>
    <i>
      <x/>
    </i>
    <i>
      <x v="7"/>
    </i>
    <i t="grand">
      <x/>
    </i>
  </rowItems>
  <colItems count="1">
    <i/>
  </colItems>
  <dataFields count="1">
    <dataField name="Sum of Reviews" fld="1" baseField="0" baseItem="3"/>
  </dataFields>
  <chartFormats count="1">
    <chartFormat chart="7" format="4" series="1">
      <pivotArea type="data" outline="0" fieldPosition="0">
        <references count="1">
          <reference field="4294967294" count="1" selected="0">
            <x v="0"/>
          </reference>
        </references>
      </pivotArea>
    </chartFormat>
  </chartFormats>
  <pivotHierarchies count="22">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caption="Sum of Reviews"/>
    <pivotHierarchy dragToData="1" caption="Max of Reviews"/>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14">
      <autoFilter ref="A1">
        <filterColumn colId="0">
          <top10 top="0" val="10" filterVal="10"/>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6000000}" name="Top highest rating" cacheId="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H10:I16" firstHeaderRow="1" firstDataRow="1" firstDataCol="1"/>
  <pivotFields count="3">
    <pivotField axis="axisRow" allDrilled="1" subtotalTop="0" showAll="0" measureFilter="1" sortType="descending" defaultSubtotal="0" defaultAttributeDrillState="1">
      <items count="5">
        <item x="4"/>
        <item x="3"/>
        <item x="2"/>
        <item x="1"/>
        <item x="0"/>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Average of User_Rating" fld="1" subtotal="average" baseField="0" baseItem="0"/>
  </dataFields>
  <pivotHierarchies count="2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caption="Sum of User_Rating"/>
    <pivotHierarchy dragToData="1" caption="Average of User_Rating"/>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14">
      <autoFilter ref="A1">
        <filterColumn colId="0">
          <top10 val="5" filterVal="5"/>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most user reviews" cacheId="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5:D9" firstHeaderRow="0" firstDataRow="1" firstDataCol="1"/>
  <pivotFields count="6">
    <pivotField axis="axisRow" allDrilled="1" subtotalTop="0" showAll="0" measureFilter="1" sortType="descending" defaultSubtotal="0" defaultAttributeDrillState="1">
      <items count="1">
        <item x="0"/>
      </items>
    </pivotField>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x="0"/>
      </items>
    </pivotField>
  </pivotFields>
  <rowFields count="3">
    <field x="0"/>
    <field x="4"/>
    <field x="5"/>
  </rowFields>
  <rowItems count="4">
    <i>
      <x/>
    </i>
    <i r="1">
      <x/>
    </i>
    <i r="2">
      <x/>
    </i>
    <i t="grand">
      <x/>
    </i>
  </rowItems>
  <colFields count="1">
    <field x="-2"/>
  </colFields>
  <colItems count="3">
    <i>
      <x/>
    </i>
    <i i="1">
      <x v="1"/>
    </i>
    <i i="2">
      <x v="2"/>
    </i>
  </colItems>
  <dataFields count="3">
    <dataField name="Sum of Reviews" fld="1" baseField="0" baseItem="3"/>
    <dataField name="Average of User_Rating" fld="2" subtotal="average" baseField="0" baseItem="0"/>
    <dataField name="Average of Price" fld="3" subtotal="average" baseField="0" baseItem="0"/>
  </dataFields>
  <pivotHierarchies count="2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caption="Sum of Reviews"/>
    <pivotHierarchy dragToData="1" caption="Max of Reviews"/>
    <pivotHierarchy dragToData="1"/>
    <pivotHierarchy dragToData="1" caption="Average of Price"/>
    <pivotHierarchy dragToData="1"/>
    <pivotHierarchy dragToData="1"/>
    <pivotHierarchy dragToData="1"/>
  </pivotHierarchies>
  <pivotTableStyleInfo name="PivotStyleLight16" showRowHeaders="1" showColHeaders="1" showRowStripes="0" showColStripes="0" showLastColumn="1"/>
  <filters count="1">
    <filter fld="0" type="count" id="6" iMeasureHier="15">
      <autoFilter ref="A1">
        <filterColumn colId="0">
          <top10 val="1" filterVal="1"/>
        </filterColumn>
      </autoFilter>
    </filter>
  </filters>
  <rowHierarchiesUsage count="3">
    <rowHierarchyUsage hierarchyUsage="0"/>
    <rowHierarchyUsage hierarchyUsage="10"/>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F2511FA-5A0F-4ACE-87FB-A6E6E1DCBFD6}" name="PivotTable55" cacheId="1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17:A1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Reviews" fld="0" baseField="0" baseItem="0"/>
  </dataFields>
  <pivotHierarchies count="22">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F9EAFAC-D29B-4FD3-9BE1-86FE7E6DDCD6}" name="trend over time with user rating"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9">
  <location ref="H49:J66" firstHeaderRow="1" firstDataRow="1" firstDataCol="0"/>
  <pivotFields count="2">
    <pivotField allDrilled="1" subtotalTop="0" showAll="0" sortType="descending" defaultSubtotal="0" defaultAttributeDrillState="1">
      <items count="10">
        <item x="9"/>
        <item x="8"/>
        <item x="7"/>
        <item x="6"/>
        <item x="5"/>
        <item x="4"/>
        <item x="3"/>
        <item x="2"/>
        <item x="1"/>
        <item x="0"/>
      </items>
    </pivotField>
    <pivotField allDrilled="1" subtotalTop="0" showAll="0" dataSourceSort="1" defaultSubtotal="0" defaultAttributeDrillState="1"/>
  </pivotFields>
  <pivotHierarchies count="22">
    <pivotHierarchy multipleItemSelectionAllowed="1" dragToData="1">
      <members count="1" level="1">
        <member name="[Table2_2].[Name].&amp;[National Geographic Little Kids First Big Book of Why (National Geographic Little Kids First Big Book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caption="Sum of Reviews"/>
    <pivotHierarchy dragToData="1" caption="Max of Reviews"/>
    <pivotHierarchy dragToData="1"/>
    <pivotHierarchy dragToData="1" caption="Average of Price"/>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Average of user rating" cacheId="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H5:H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User_Rating" fld="0" subtotal="average" baseField="0" baseItem="0"/>
  </dataFields>
  <pivotHierarchies count="2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D75F42D-3F5A-4ED7-A9AD-ABFB037C2BD7}" name="PivotTable33" cacheId="1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N57:P74" firstHeaderRow="1" firstDataRow="1" firstDataCol="0"/>
  <pivotFields count="2">
    <pivotField allDrilled="1" subtotalTop="0" showAll="0" measureFilter="1" sortType="descending" defaultSubtotal="0" defaultAttributeDrillState="1">
      <items count="10">
        <item x="9"/>
        <item x="8"/>
        <item x="7"/>
        <item x="6"/>
        <item x="5"/>
        <item x="4"/>
        <item x="3"/>
        <item x="2"/>
        <item x="1"/>
        <item x="0"/>
      </items>
    </pivotField>
    <pivotField allDrilled="1" subtotalTop="0" showAll="0" dataSourceSort="1" defaultSubtotal="0" defaultAttributeDrillState="1"/>
  </pivotFields>
  <pivotHierarchies count="22">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caption="Sum of Reviews"/>
    <pivotHierarchy dragToData="1" caption="Max of Reviews"/>
    <pivotHierarchy dragToData="1"/>
    <pivotHierarchy dragToData="1" caption="Average of Price"/>
    <pivotHierarchy dragToData="1"/>
    <pivotHierarchy dragToData="1" caption="Count of Reviews"/>
    <pivotHierarchy dragToData="1"/>
  </pivotHierarchies>
  <pivotTableStyleInfo name="PivotStyleLight16" showRowHeaders="1" showColHeaders="1" showRowStripes="0" showColStripes="0" showLastColumn="1"/>
  <filters count="1">
    <filter fld="0" type="count" id="4" iMeasureHier="15">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lowest user rating books" cacheId="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H20:I26"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i>
    <i>
      <x v="1"/>
    </i>
    <i>
      <x v="2"/>
    </i>
    <i>
      <x v="3"/>
    </i>
    <i t="grand">
      <x/>
    </i>
  </rowItems>
  <colItems count="1">
    <i/>
  </colItems>
  <dataFields count="1">
    <dataField name="Average of User_Rating" fld="1" subtotal="average" baseField="0" baseItem="0"/>
  </dataFields>
  <pivotHierarchies count="2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14">
      <autoFilter ref="A1">
        <filterColumn colId="0">
          <top10 top="0" val="5" filterVal="5"/>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2B9C949-71E3-436E-A7E1-9A3218745503}"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5:B20" firstHeaderRow="1" firstDataRow="1" firstDataCol="1"/>
  <pivotFields count="11">
    <pivotField showAll="0" sortType="ascending"/>
    <pivotField showAll="0"/>
    <pivotField axis="axisRow" showAll="0">
      <items count="15">
        <item x="13"/>
        <item x="10"/>
        <item x="9"/>
        <item x="5"/>
        <item x="11"/>
        <item x="12"/>
        <item x="7"/>
        <item x="6"/>
        <item x="3"/>
        <item x="4"/>
        <item x="1"/>
        <item x="0"/>
        <item x="2"/>
        <item x="8"/>
        <item t="default"/>
      </items>
    </pivotField>
    <pivotField showAll="0"/>
    <pivotField showAll="0"/>
    <pivotField showAll="0"/>
    <pivotField dataField="1" showAll="0"/>
    <pivotField showAll="0"/>
    <pivotField showAll="0"/>
    <pivotField showAll="0"/>
    <pivotField showAll="0"/>
  </pivotFields>
  <rowFields count="1">
    <field x="2"/>
  </rowFields>
  <rowItems count="15">
    <i>
      <x/>
    </i>
    <i>
      <x v="1"/>
    </i>
    <i>
      <x v="2"/>
    </i>
    <i>
      <x v="3"/>
    </i>
    <i>
      <x v="4"/>
    </i>
    <i>
      <x v="5"/>
    </i>
    <i>
      <x v="6"/>
    </i>
    <i>
      <x v="7"/>
    </i>
    <i>
      <x v="8"/>
    </i>
    <i>
      <x v="9"/>
    </i>
    <i>
      <x v="10"/>
    </i>
    <i>
      <x v="11"/>
    </i>
    <i>
      <x v="12"/>
    </i>
    <i>
      <x v="13"/>
    </i>
    <i t="grand">
      <x/>
    </i>
  </rowItems>
  <colItems count="1">
    <i/>
  </colItems>
  <dataFields count="1">
    <dataField name="Average of Price" fld="6"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1E94116-1DC8-4A8A-A042-8F787FF3DDF8}"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J21:K30" firstHeaderRow="1" firstDataRow="1" firstDataCol="1"/>
  <pivotFields count="11">
    <pivotField axis="axisRow" showAll="0" measureFilter="1" sortType="ascending">
      <items count="3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t="default"/>
      </items>
    </pivotField>
    <pivotField showAll="0"/>
    <pivotField showAll="0"/>
    <pivotField showAll="0"/>
    <pivotField showAll="0"/>
    <pivotField showAll="0"/>
    <pivotField dataField="1" showAll="0"/>
    <pivotField showAll="0"/>
    <pivotField showAll="0"/>
    <pivotField showAll="0"/>
    <pivotField showAll="0"/>
  </pivotFields>
  <rowFields count="1">
    <field x="0"/>
  </rowFields>
  <rowItems count="9">
    <i>
      <x v="37"/>
    </i>
    <i>
      <x v="57"/>
    </i>
    <i>
      <x v="92"/>
    </i>
    <i>
      <x v="140"/>
    </i>
    <i>
      <x v="159"/>
    </i>
    <i>
      <x v="234"/>
    </i>
    <i>
      <x v="243"/>
    </i>
    <i>
      <x v="296"/>
    </i>
    <i t="grand">
      <x/>
    </i>
  </rowItems>
  <colItems count="1">
    <i/>
  </colItems>
  <dataFields count="1">
    <dataField name="Sum of Price" fld="6" baseField="0" baseItem="57"/>
  </dataFields>
  <pivotTableStyleInfo name="PivotStyleLight16" showRowHeaders="1" showColHeaders="1" showRowStripes="0" showColStripes="0" showLastColumn="1"/>
  <filters count="1">
    <filter fld="0"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2B8C42F-B97F-46D5-A565-35E40A6A5B00}"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J12:K18" firstHeaderRow="1" firstDataRow="1" firstDataCol="1"/>
  <pivotFields count="11">
    <pivotField axis="axisRow" showAll="0" measureFilter="1" sortType="descending">
      <items count="351">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pivotField showAll="0"/>
  </pivotFields>
  <rowFields count="1">
    <field x="0"/>
  </rowFields>
  <rowItems count="6">
    <i>
      <x v="158"/>
    </i>
    <i>
      <x v="293"/>
    </i>
    <i>
      <x v="69"/>
    </i>
    <i>
      <x v="133"/>
    </i>
    <i>
      <x v="140"/>
    </i>
    <i t="grand">
      <x/>
    </i>
  </rowItems>
  <colItems count="1">
    <i/>
  </colItems>
  <dataFields count="1">
    <dataField name="Sum of Price" fld="6" baseField="0" baseItem="56"/>
  </dataFields>
  <pivotTableStyleInfo name="PivotStyleLight16"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B2A823F-213F-4C98-AEA0-8FE7961534B6}" name="verage book price and compare fiction vs non fiction"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J5:K8" firstHeaderRow="1" firstDataRow="1" firstDataCol="1"/>
  <pivotFields count="11">
    <pivotField showAll="0"/>
    <pivotField showAll="0"/>
    <pivotField showAll="0"/>
    <pivotField showAll="0"/>
    <pivotField showAll="0"/>
    <pivotField showAll="0"/>
    <pivotField dataField="1" showAll="0"/>
    <pivotField showAll="0"/>
    <pivotField showAll="0"/>
    <pivotField showAll="0"/>
    <pivotField axis="axisRow" showAll="0">
      <items count="3">
        <item x="1"/>
        <item x="0"/>
        <item t="default"/>
      </items>
    </pivotField>
  </pivotFields>
  <rowFields count="1">
    <field x="10"/>
  </rowFields>
  <rowItems count="3">
    <i>
      <x/>
    </i>
    <i>
      <x v="1"/>
    </i>
    <i t="grand">
      <x/>
    </i>
  </rowItems>
  <colItems count="1">
    <i/>
  </colItems>
  <dataFields count="1">
    <dataField name="Average of Price" fld="6" subtotal="average" baseField="0" baseItem="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FDE7EA5-7B2B-4B99-908B-714D5E86D9CA}" name="PivotTable2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B17" firstHeaderRow="1" firstDataRow="1" firstDataCol="1"/>
  <pivotFields count="11">
    <pivotField showAll="0"/>
    <pivotField showAll="0"/>
    <pivotField showAll="0"/>
    <pivotField showAll="0"/>
    <pivotField dataField="1" showAll="0"/>
    <pivotField showAll="0"/>
    <pivotField showAll="0"/>
    <pivotField showAll="0"/>
    <pivotField axis="axisRow" multipleItemSelectionAllowed="1" showAll="0">
      <items count="12">
        <item x="7"/>
        <item x="6"/>
        <item x="1"/>
        <item x="10"/>
        <item x="9"/>
        <item x="5"/>
        <item x="8"/>
        <item x="0"/>
        <item x="3"/>
        <item x="2"/>
        <item x="4"/>
        <item t="default"/>
      </items>
    </pivotField>
    <pivotField showAll="0">
      <items count="3">
        <item x="0"/>
        <item x="1"/>
        <item t="default"/>
      </items>
    </pivotField>
    <pivotField showAll="0"/>
  </pivotFields>
  <rowFields count="1">
    <field x="8"/>
  </rowFields>
  <rowItems count="12">
    <i>
      <x/>
    </i>
    <i>
      <x v="1"/>
    </i>
    <i>
      <x v="2"/>
    </i>
    <i>
      <x v="3"/>
    </i>
    <i>
      <x v="4"/>
    </i>
    <i>
      <x v="5"/>
    </i>
    <i>
      <x v="6"/>
    </i>
    <i>
      <x v="7"/>
    </i>
    <i>
      <x v="8"/>
    </i>
    <i>
      <x v="9"/>
    </i>
    <i>
      <x v="10"/>
    </i>
    <i t="grand">
      <x/>
    </i>
  </rowItems>
  <colItems count="1">
    <i/>
  </colItems>
  <dataFields count="1">
    <dataField name="Average of Reviews" fld="4" subtotal="average" baseField="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A956B34-32ED-41D9-AF7D-22A13A4E9AD8}" name="identify if newer books (2015-2019) tend to have higher or lower ratings than older  books."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3:J26" firstHeaderRow="1" firstDataRow="1" firstDataCol="1" rowPageCount="1" colPageCount="1"/>
  <pivotFields count="11">
    <pivotField showAll="0"/>
    <pivotField showAll="0"/>
    <pivotField dataField="1" showAll="0"/>
    <pivotField showAll="0"/>
    <pivotField showAll="0"/>
    <pivotField showAll="0"/>
    <pivotField showAll="0"/>
    <pivotField showAll="0"/>
    <pivotField axis="axisPage" multipleItemSelectionAllowed="1" showAll="0">
      <items count="12">
        <item x="7"/>
        <item x="6"/>
        <item x="1"/>
        <item x="10"/>
        <item x="9"/>
        <item x="5"/>
        <item x="8"/>
        <item x="0"/>
        <item x="3"/>
        <item x="2"/>
        <item x="4"/>
        <item t="default"/>
      </items>
    </pivotField>
    <pivotField axis="axisRow" showAll="0">
      <items count="3">
        <item x="0"/>
        <item x="1"/>
        <item t="default"/>
      </items>
    </pivotField>
    <pivotField showAll="0"/>
  </pivotFields>
  <rowFields count="1">
    <field x="9"/>
  </rowFields>
  <rowItems count="3">
    <i>
      <x/>
    </i>
    <i>
      <x v="1"/>
    </i>
    <i t="grand">
      <x/>
    </i>
  </rowItems>
  <colItems count="1">
    <i/>
  </colItems>
  <pageFields count="1">
    <pageField fld="8" hier="-1"/>
  </pageFields>
  <dataFields count="1">
    <dataField name="Average of User_Rating" fld="2" subtotal="average"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8B46196-CE9B-43B4-9DC0-B4D2F689D4C2}" name="nalyze how book publications have changed over the years."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5:J17" firstHeaderRow="1" firstDataRow="1" firstDataCol="1"/>
  <pivotFields count="11">
    <pivotField dataField="1" showAll="0"/>
    <pivotField showAll="0"/>
    <pivotField showAll="0"/>
    <pivotField showAll="0"/>
    <pivotField showAll="0"/>
    <pivotField showAll="0"/>
    <pivotField showAll="0"/>
    <pivotField showAll="0"/>
    <pivotField axis="axisRow" showAll="0">
      <items count="12">
        <item x="7"/>
        <item x="6"/>
        <item x="1"/>
        <item x="10"/>
        <item x="9"/>
        <item x="5"/>
        <item x="8"/>
        <item x="0"/>
        <item x="3"/>
        <item x="2"/>
        <item x="4"/>
        <item t="default"/>
      </items>
    </pivotField>
    <pivotField showAll="0"/>
    <pivotField showAll="0"/>
  </pivotFields>
  <rowFields count="1">
    <field x="8"/>
  </rowFields>
  <rowItems count="12">
    <i>
      <x/>
    </i>
    <i>
      <x v="1"/>
    </i>
    <i>
      <x v="2"/>
    </i>
    <i>
      <x v="3"/>
    </i>
    <i>
      <x v="4"/>
    </i>
    <i>
      <x v="5"/>
    </i>
    <i>
      <x v="6"/>
    </i>
    <i>
      <x v="7"/>
    </i>
    <i>
      <x v="8"/>
    </i>
    <i>
      <x v="9"/>
    </i>
    <i>
      <x v="10"/>
    </i>
    <i t="grand">
      <x/>
    </i>
  </rowItems>
  <colItems count="1">
    <i/>
  </colItems>
  <dataFields count="1">
    <dataField name="Count of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D580272-51B9-491E-9F04-CEA49906F5CC}" name="the proportion of Fiction vs. Non-Fiction books." cacheId="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6">
  <location ref="J4:K7" firstHeaderRow="1" firstDataRow="1" firstDataCol="1"/>
  <pivotFields count="3">
    <pivotField allDrilled="1" subtotalTop="0" showAll="0" sortType="descending" defaultSubtotal="0" defaultAttributeDrillState="1">
      <items count="10">
        <item x="9"/>
        <item x="8"/>
        <item x="7"/>
        <item x="6"/>
        <item x="5"/>
        <item x="4"/>
        <item x="3"/>
        <item x="2"/>
        <item x="1"/>
        <item x="0"/>
      </items>
    </pivotField>
    <pivotField axis="axisRow" allDrilled="1" subtotalTop="0" showAll="0" dataSourceSort="1" defaultSubtotal="0" defaultAttributeDrillState="1">
      <items count="2">
        <item x="0"/>
        <item x="1"/>
      </items>
    </pivotField>
    <pivotField dataField="1" subtotalTop="0" showAll="0" defaultSubtotal="0"/>
  </pivotFields>
  <rowFields count="1">
    <field x="1"/>
  </rowFields>
  <rowItems count="3">
    <i>
      <x/>
    </i>
    <i>
      <x v="1"/>
    </i>
    <i t="grand">
      <x/>
    </i>
  </rowItems>
  <colItems count="1">
    <i/>
  </colItems>
  <dataFields count="1">
    <dataField name="Count of Genre" fld="2" subtotal="count" baseField="0" baseItem="0"/>
  </dataFields>
  <chartFormats count="7">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 count="1" selected="0">
            <x v="0"/>
          </reference>
        </references>
      </pivotArea>
    </chartFormat>
    <chartFormat chart="3" format="6">
      <pivotArea type="data" outline="0" fieldPosition="0">
        <references count="2">
          <reference field="4294967294" count="1" selected="0">
            <x v="0"/>
          </reference>
          <reference field="1" count="1" selected="0">
            <x v="1"/>
          </reference>
        </references>
      </pivotArea>
    </chartFormat>
    <chartFormat chart="15" format="10" series="1">
      <pivotArea type="data" outline="0" fieldPosition="0">
        <references count="1">
          <reference field="4294967294" count="1" selected="0">
            <x v="0"/>
          </reference>
        </references>
      </pivotArea>
    </chartFormat>
    <chartFormat chart="15" format="11">
      <pivotArea type="data" outline="0" fieldPosition="0">
        <references count="2">
          <reference field="4294967294" count="1" selected="0">
            <x v="0"/>
          </reference>
          <reference field="1" count="1" selected="0">
            <x v="0"/>
          </reference>
        </references>
      </pivotArea>
    </chartFormat>
    <chartFormat chart="15" format="12">
      <pivotArea type="data" outline="0" fieldPosition="0">
        <references count="2">
          <reference field="4294967294" count="1" selected="0">
            <x v="0"/>
          </reference>
          <reference field="1" count="1" selected="0">
            <x v="1"/>
          </reference>
        </references>
      </pivotArea>
    </chartFormat>
  </chartFormats>
  <pivotHierarchies count="22">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caption="Sum of Reviews"/>
    <pivotHierarchy dragToData="1" caption="Max of Reviews"/>
    <pivotHierarchy dragToData="1"/>
    <pivotHierarchy dragToData="1" caption="Average of Pric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6CC5C0AF-D002-4CFA-9AE6-E4D5E6297A85}" name="NUMBER OF REVIEWS PER BOOK" cacheId="1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B9:C360" firstHeaderRow="1" firstDataRow="1" firstDataCol="1"/>
  <pivotFields count="3">
    <pivotField axis="axisRow" allDrilled="1" subtotalTop="0" showAll="0" sortType="descending" defaultSubtotal="0" defaultAttributeDrillState="1">
      <items count="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s>
    </pivotField>
    <pivotField dataField="1" subtotalTop="0" showAll="0" defaultSubtotal="0"/>
    <pivotField allDrilled="1" subtotalTop="0" showAll="0" dataSourceSort="1" defaultSubtotal="0" defaultAttributeDrillState="1"/>
  </pivotFields>
  <rowFields count="1">
    <field x="0"/>
  </rowFields>
  <rowItems count="3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t="grand">
      <x/>
    </i>
  </rowItems>
  <colItems count="1">
    <i/>
  </colItems>
  <dataFields count="1">
    <dataField name="Sum of Reviews" fld="1" baseField="0" baseItem="0"/>
  </dataFields>
  <pivotHierarchies count="22">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caption="Sum of Reviews"/>
    <pivotHierarchy dragToData="1" caption="Max of Reviews"/>
    <pivotHierarchy dragToData="1"/>
    <pivotHierarchy dragToData="1" caption="Average of Pric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63CB7B16-89BD-408B-A3EB-1FFEA85405E1}"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L20:M32" firstHeaderRow="1" firstDataRow="1" firstDataCol="1"/>
  <pivotFields count="11">
    <pivotField showAll="0"/>
    <pivotField showAll="0"/>
    <pivotField dataField="1" showAll="0"/>
    <pivotField showAll="0">
      <items count="3">
        <item x="0"/>
        <item x="1"/>
        <item t="default"/>
      </items>
    </pivotField>
    <pivotField showAll="0"/>
    <pivotField showAll="0"/>
    <pivotField showAll="0"/>
    <pivotField showAll="0"/>
    <pivotField axis="axisRow" showAll="0">
      <items count="12">
        <item x="7"/>
        <item x="6"/>
        <item x="1"/>
        <item x="10"/>
        <item x="9"/>
        <item x="5"/>
        <item x="8"/>
        <item x="0"/>
        <item x="3"/>
        <item x="2"/>
        <item x="4"/>
        <item t="default"/>
      </items>
    </pivotField>
    <pivotField showAll="0"/>
    <pivotField showAll="0"/>
  </pivotFields>
  <rowFields count="1">
    <field x="8"/>
  </rowFields>
  <rowItems count="12">
    <i>
      <x/>
    </i>
    <i>
      <x v="1"/>
    </i>
    <i>
      <x v="2"/>
    </i>
    <i>
      <x v="3"/>
    </i>
    <i>
      <x v="4"/>
    </i>
    <i>
      <x v="5"/>
    </i>
    <i>
      <x v="6"/>
    </i>
    <i>
      <x v="7"/>
    </i>
    <i>
      <x v="8"/>
    </i>
    <i>
      <x v="9"/>
    </i>
    <i>
      <x v="10"/>
    </i>
    <i t="grand">
      <x/>
    </i>
  </rowItems>
  <colItems count="1">
    <i/>
  </colItems>
  <dataFields count="1">
    <dataField name="Average of User_Rating" fld="2" subtotal="average" baseField="8"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3E63AE25-4B59-4064-A866-7AA37C945627}" name="PivotTable36" cacheId="1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2">
  <location ref="J13:J15" firstHeaderRow="1" firstDataRow="1" firstDataCol="1"/>
  <pivotFields count="4">
    <pivotField allDrilled="1" subtotalTop="0" showAll="0" sortType="descending" defaultSubtotal="0" defaultAttributeDrillState="1">
      <items count="10">
        <item x="9"/>
        <item x="8"/>
        <item x="7"/>
        <item x="6"/>
        <item x="5"/>
        <item x="4"/>
        <item x="3"/>
        <item x="2"/>
        <item x="1"/>
        <item x="0"/>
      </items>
    </pivotField>
    <pivotField allDrilled="1" subtotalTop="0" showAll="0" dataSourceSort="1" defaultSubtotal="0" defaultAttributeDrillState="1"/>
    <pivotField axis="axisRow" allDrilled="1" subtotalTop="0" showAll="0" dataSourceSort="1" defaultSubtotal="0" defaultAttributeDrillState="1">
      <items count="1">
        <item s="1" x="0"/>
      </items>
    </pivotField>
    <pivotField allDrilled="1" subtotalTop="0" showAll="0" dataSourceSort="1" defaultSubtotal="0" defaultAttributeDrillState="1"/>
  </pivotFields>
  <rowFields count="1">
    <field x="2"/>
  </rowFields>
  <rowItems count="2">
    <i>
      <x/>
    </i>
    <i t="grand">
      <x/>
    </i>
  </rowItems>
  <pivotHierarchies count="22">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members count="1" level="1">
        <member name="[Table2_2].[Price].&amp;[4]"/>
      </members>
    </pivotHierarchy>
    <pivotHierarchy dragToData="1"/>
    <pivotHierarchy multipleItemSelectionAllowed="1" dragToData="1"/>
    <pivotHierarchy dragToData="1"/>
    <pivotHierarchy multipleItemSelectionAllowed="1" dragToData="1"/>
    <pivotHierarchy dragToRow="0" dragToCol="0" dragToPage="0" dragToData="1"/>
    <pivotHierarchy dragToRow="0" dragToCol="0" dragToPage="0" dragToData="1"/>
    <pivotHierarchy dragToData="1"/>
    <pivotHierarchy dragToData="1" caption="Average of User_Rating"/>
    <pivotHierarchy dragToData="1" caption="Sum of Reviews"/>
    <pivotHierarchy dragToData="1" caption="Max of Reviews"/>
    <pivotHierarchy dragToData="1"/>
    <pivotHierarchy dragToData="1" caption="Average of Price"/>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estsellers with categories.xlsm!Table2_2">
        <x15:activeTabTopLevelEntity name="[Table2_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16" applyNumberFormats="0" applyBorderFormats="0" applyFontFormats="0" applyPatternFormats="0" applyAlignmentFormats="0" applyWidthHeightFormats="0">
  <queryTableRefresh nextId="12">
    <queryTableFields count="11">
      <queryTableField id="1" name="Name" tableColumnId="1"/>
      <queryTableField id="2" name="Author" tableColumnId="2"/>
      <queryTableField id="3" name="User_Rating" tableColumnId="3"/>
      <queryTableField id="8" dataBound="0" tableColumnId="8"/>
      <queryTableField id="4" name="Reviews" tableColumnId="4"/>
      <queryTableField id="9" dataBound="0" tableColumnId="9"/>
      <queryTableField id="5" name="Price" tableColumnId="5"/>
      <queryTableField id="10" dataBound="0" tableColumnId="10"/>
      <queryTableField id="6" name="Year" tableColumnId="6"/>
      <queryTableField id="11" dataBound="0" tableColumnId="11"/>
      <queryTableField id="7" name="Genre"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iews" xr10:uid="{50AA1DF7-B948-4775-BD92-D550009929EC}" sourceName="[Table2_2].[Reviews]">
  <pivotTables>
    <pivotTable tabId="16" name="PivotTable36"/>
    <pivotTable tabId="16" name="NUMBER OF REVIEWS PER BOOK"/>
    <pivotTable tabId="3" name="books with most reviews"/>
    <pivotTable tabId="3" name="PivotTable33"/>
    <pivotTable tabId="3" name="PivotTable55"/>
  </pivotTables>
  <data>
    <olap pivotCacheId="228312572">
      <levels count="2">
        <level uniqueName="[Table2_2].[Reviews].[(All)]" sourceCaption="(All)" count="0"/>
        <level uniqueName="[Table2_2].[Reviews].[Reviews]" sourceCaption="Reviews" count="346" sortOrder="ascending">
          <ranges>
            <range startItem="0">
              <i n="[Table2_2].[Reviews].&amp;[37]" c="37"/>
              <i n="[Table2_2].[Reviews].&amp;[220]" c="220"/>
              <i n="[Table2_2].[Reviews].&amp;[408]" c="408"/>
              <i n="[Table2_2].[Reviews].&amp;[438]" c="438"/>
              <i n="[Table2_2].[Reviews].&amp;[440]" c="440"/>
              <i n="[Table2_2].[Reviews].&amp;[460]" c="460"/>
              <i n="[Table2_2].[Reviews].&amp;[471]" c="471"/>
              <i n="[Table2_2].[Reviews].&amp;[491]" c="491"/>
              <i n="[Table2_2].[Reviews].&amp;[548]" c="548"/>
              <i n="[Table2_2].[Reviews].&amp;[615]" c="615"/>
              <i n="[Table2_2].[Reviews].&amp;[637]" c="637"/>
              <i n="[Table2_2].[Reviews].&amp;[720]" c="720"/>
              <i n="[Table2_2].[Reviews].&amp;[798]" c="798"/>
              <i n="[Table2_2].[Reviews].&amp;[803]" c="803"/>
              <i n="[Table2_2].[Reviews].&amp;[807]" c="807"/>
              <i n="[Table2_2].[Reviews].&amp;[858]" c="858"/>
              <i n="[Table2_2].[Reviews].&amp;[956]" c="956"/>
              <i n="[Table2_2].[Reviews].&amp;[973]" c="973"/>
              <i n="[Table2_2].[Reviews].&amp;[978]" c="978"/>
              <i n="[Table2_2].[Reviews].&amp;[1201]" c="1201"/>
              <i n="[Table2_2].[Reviews].&amp;[1204]" c="1204"/>
              <i n="[Table2_2].[Reviews].&amp;[1215]" c="1215"/>
              <i n="[Table2_2].[Reviews].&amp;[1265]" c="1265"/>
              <i n="[Table2_2].[Reviews].&amp;[1296]" c="1296"/>
              <i n="[Table2_2].[Reviews].&amp;[1302]" c="1302"/>
              <i n="[Table2_2].[Reviews].&amp;[1320]" c="1320"/>
              <i n="[Table2_2].[Reviews].&amp;[1329]" c="1329"/>
              <i n="[Table2_2].[Reviews].&amp;[1365]" c="1365"/>
              <i n="[Table2_2].[Reviews].&amp;[1386]" c="1386"/>
              <i n="[Table2_2].[Reviews].&amp;[1463]" c="1463"/>
              <i n="[Table2_2].[Reviews].&amp;[1467]" c="1467"/>
              <i n="[Table2_2].[Reviews].&amp;[1541]" c="1541"/>
              <i n="[Table2_2].[Reviews].&amp;[1542]" c="1542"/>
              <i n="[Table2_2].[Reviews].&amp;[1555]" c="1555"/>
              <i n="[Table2_2].[Reviews].&amp;[1583]" c="1583"/>
              <i n="[Table2_2].[Reviews].&amp;[1636]" c="1636"/>
              <i n="[Table2_2].[Reviews].&amp;[1649]" c="1649"/>
              <i n="[Table2_2].[Reviews].&amp;[1651]" c="1651"/>
              <i n="[Table2_2].[Reviews].&amp;[1655]" c="1655"/>
              <i n="[Table2_2].[Reviews].&amp;[1680]" c="1680"/>
              <i n="[Table2_2].[Reviews].&amp;[1789]" c="1789"/>
              <i n="[Table2_2].[Reviews].&amp;[1831]" c="1831"/>
              <i n="[Table2_2].[Reviews].&amp;[1859]" c="1859"/>
              <i n="[Table2_2].[Reviews].&amp;[1873]" c="1873"/>
              <i n="[Table2_2].[Reviews].&amp;[1884]" c="1884"/>
              <i n="[Table2_2].[Reviews].&amp;[1904]" c="1904"/>
              <i n="[Table2_2].[Reviews].&amp;[1907]" c="1907"/>
              <i n="[Table2_2].[Reviews].&amp;[1909]" c="1909"/>
              <i n="[Table2_2].[Reviews].&amp;[1924]" c="1924"/>
              <i n="[Table2_2].[Reviews].&amp;[1930]" c="1930"/>
              <i n="[Table2_2].[Reviews].&amp;[1985]" c="1985"/>
              <i n="[Table2_2].[Reviews].&amp;[2023]" c="2023"/>
              <i n="[Table2_2].[Reviews].&amp;[2052]" c="2052"/>
              <i n="[Table2_2].[Reviews].&amp;[2091]" c="2091"/>
              <i n="[Table2_2].[Reviews].&amp;[2094]" c="2094"/>
              <i n="[Table2_2].[Reviews].&amp;[2122]" c="2122"/>
              <i n="[Table2_2].[Reviews].&amp;[2134]" c="2134"/>
              <i n="[Table2_2].[Reviews].&amp;[2137]" c="2137"/>
              <i n="[Table2_2].[Reviews].&amp;[2186]" c="2186"/>
              <i n="[Table2_2].[Reviews].&amp;[2272]" c="2272"/>
              <i n="[Table2_2].[Reviews].&amp;[2282]" c="2282"/>
              <i n="[Table2_2].[Reviews].&amp;[2313]" c="2313"/>
              <i n="[Table2_2].[Reviews].&amp;[2314]" c="2314"/>
              <i n="[Table2_2].[Reviews].&amp;[2426]" c="2426"/>
              <i n="[Table2_2].[Reviews].&amp;[2507]" c="2507"/>
              <i n="[Table2_2].[Reviews].&amp;[2525]" c="2525"/>
              <i n="[Table2_2].[Reviews].&amp;[2580]" c="2580"/>
              <i n="[Table2_2].[Reviews].&amp;[2586]" c="2586"/>
              <i n="[Table2_2].[Reviews].&amp;[2663]" c="2663"/>
              <i n="[Table2_2].[Reviews].&amp;[2744]" c="2744"/>
              <i n="[Table2_2].[Reviews].&amp;[2752]" c="2752"/>
              <i n="[Table2_2].[Reviews].&amp;[2774]" c="2774"/>
              <i n="[Table2_2].[Reviews].&amp;[2812]" c="2812"/>
              <i n="[Table2_2].[Reviews].&amp;[2876]" c="2876"/>
              <i n="[Table2_2].[Reviews].&amp;[2884]" c="2884"/>
              <i n="[Table2_2].[Reviews].&amp;[2925]" c="2925"/>
              <i n="[Table2_2].[Reviews].&amp;[2926]" c="2926"/>
              <i n="[Table2_2].[Reviews].&amp;[2951]" c="2951"/>
              <i n="[Table2_2].[Reviews].&amp;[3014]" c="3014"/>
              <i n="[Table2_2].[Reviews].&amp;[3113]" c="3113"/>
              <i n="[Table2_2].[Reviews].&amp;[3146]" c="3146"/>
              <i n="[Table2_2].[Reviews].&amp;[3163]" c="3163"/>
              <i n="[Table2_2].[Reviews].&amp;[3181]" c="3181"/>
              <i n="[Table2_2].[Reviews].&amp;[3192]" c="3192"/>
              <i n="[Table2_2].[Reviews].&amp;[3207]" c="3207"/>
              <i n="[Table2_2].[Reviews].&amp;[3319]" c="3319"/>
              <i n="[Table2_2].[Reviews].&amp;[3341]" c="3341"/>
              <i n="[Table2_2].[Reviews].&amp;[3428]" c="3428"/>
              <i n="[Table2_2].[Reviews].&amp;[3457]" c="3457"/>
              <i n="[Table2_2].[Reviews].&amp;[3477]" c="3477"/>
              <i n="[Table2_2].[Reviews].&amp;[3490]" c="3490"/>
              <i n="[Table2_2].[Reviews].&amp;[3503]" c="3503"/>
              <i n="[Table2_2].[Reviews].&amp;[3523]" c="3523"/>
              <i n="[Table2_2].[Reviews].&amp;[3536]" c="3536"/>
              <i n="[Table2_2].[Reviews].&amp;[3564]" c="3564"/>
              <i n="[Table2_2].[Reviews].&amp;[3601]" c="3601"/>
              <i n="[Table2_2].[Reviews].&amp;[3619]" c="3619"/>
              <i n="[Table2_2].[Reviews].&amp;[3642]" c="3642"/>
              <i n="[Table2_2].[Reviews].&amp;[3673]" c="3673"/>
              <i n="[Table2_2].[Reviews].&amp;[3729]" c="3729"/>
              <i n="[Table2_2].[Reviews].&amp;[3759]" c="3759"/>
              <i n="[Table2_2].[Reviews].&amp;[3776]" c="3776"/>
              <i n="[Table2_2].[Reviews].&amp;[3796]" c="3796"/>
              <i n="[Table2_2].[Reviews].&amp;[3801]" c="3801"/>
              <i n="[Table2_2].[Reviews].&amp;[3828]" c="3828"/>
              <i n="[Table2_2].[Reviews].&amp;[3829]" c="3829"/>
              <i n="[Table2_2].[Reviews].&amp;[3836]" c="3836"/>
              <i n="[Table2_2].[Reviews].&amp;[3837]" c="3837"/>
              <i n="[Table2_2].[Reviews].&amp;[3871]" c="3871"/>
              <i n="[Table2_2].[Reviews].&amp;[3923]" c="3923"/>
              <i n="[Table2_2].[Reviews].&amp;[4022]" c="4022"/>
              <i n="[Table2_2].[Reviews].&amp;[4028]" c="4028"/>
              <i n="[Table2_2].[Reviews].&amp;[4148]" c="4148"/>
              <i n="[Table2_2].[Reviews].&amp;[4149]" c="4149"/>
              <i n="[Table2_2].[Reviews].&amp;[4247]" c="4247"/>
              <i n="[Table2_2].[Reviews].&amp;[4290]" c="4290"/>
              <i n="[Table2_2].[Reviews].&amp;[4360]" c="4360"/>
              <i n="[Table2_2].[Reviews].&amp;[4370]" c="4370"/>
              <i n="[Table2_2].[Reviews].&amp;[4505]" c="4505"/>
              <i n="[Table2_2].[Reviews].&amp;[4506]" c="4506"/>
              <i n="[Table2_2].[Reviews].&amp;[4519]" c="4519"/>
              <i n="[Table2_2].[Reviews].&amp;[4571]" c="4571"/>
              <i n="[Table2_2].[Reviews].&amp;[4585]" c="4585"/>
              <i n="[Table2_2].[Reviews].&amp;[4587]" c="4587"/>
              <i n="[Table2_2].[Reviews].&amp;[4628]" c="4628"/>
              <i n="[Table2_2].[Reviews].&amp;[4633]" c="4633"/>
              <i n="[Table2_2].[Reviews].&amp;[4642]" c="4642"/>
              <i n="[Table2_2].[Reviews].&amp;[4725]" c="4725"/>
              <i n="[Table2_2].[Reviews].&amp;[4748]" c="4748"/>
              <i n="[Table2_2].[Reviews].&amp;[4757]" c="4757"/>
              <i n="[Table2_2].[Reviews].&amp;[4761]" c="4761"/>
              <i n="[Table2_2].[Reviews].&amp;[4786]" c="4786"/>
              <i n="[Table2_2].[Reviews].&amp;[4799]" c="4799"/>
              <i n="[Table2_2].[Reviews].&amp;[4866]" c="4866"/>
              <i n="[Table2_2].[Reviews].&amp;[4896]" c="4896"/>
              <i n="[Table2_2].[Reviews].&amp;[5013]" c="5013"/>
              <i n="[Table2_2].[Reviews].&amp;[5062]" c="5062"/>
              <i n="[Table2_2].[Reviews].&amp;[5069]" c="5069"/>
              <i n="[Table2_2].[Reviews].&amp;[5118]" c="5118"/>
              <i n="[Table2_2].[Reviews].&amp;[5153]" c="5153"/>
              <i n="[Table2_2].[Reviews].&amp;[5178]" c="5178"/>
              <i n="[Table2_2].[Reviews].&amp;[5235]" c="5235"/>
              <i n="[Table2_2].[Reviews].&amp;[5249]" c="5249"/>
              <i n="[Table2_2].[Reviews].&amp;[5272]" c="5272"/>
              <i n="[Table2_2].[Reviews].&amp;[5299]" c="5299"/>
              <i n="[Table2_2].[Reviews].&amp;[5347]" c="5347"/>
              <i n="[Table2_2].[Reviews].&amp;[5360]" c="5360"/>
              <i n="[Table2_2].[Reviews].&amp;[5396]" c="5396"/>
              <i n="[Table2_2].[Reviews].&amp;[5413]" c="5413"/>
              <i n="[Table2_2].[Reviews].&amp;[5470]" c="5470"/>
              <i n="[Table2_2].[Reviews].&amp;[5476]" c="5476"/>
              <i n="[Table2_2].[Reviews].&amp;[5487]" c="5487"/>
              <i n="[Table2_2].[Reviews].&amp;[5492]" c="5492"/>
              <i n="[Table2_2].[Reviews].&amp;[5505]" c="5505"/>
              <i n="[Table2_2].[Reviews].&amp;[5542]" c="5542"/>
              <i n="[Table2_2].[Reviews].&amp;[5594]" c="5594"/>
              <i n="[Table2_2].[Reviews].&amp;[5680]" c="5680"/>
              <i n="[Table2_2].[Reviews].&amp;[5836]" c="5836"/>
              <i n="[Table2_2].[Reviews].&amp;[5867]" c="5867"/>
              <i n="[Table2_2].[Reviews].&amp;[5898]" c="5898"/>
              <i n="[Table2_2].[Reviews].&amp;[5956]" c="5956"/>
              <i n="[Table2_2].[Reviews].&amp;[5972]" c="5972"/>
              <i n="[Table2_2].[Reviews].&amp;[5977]" c="5977"/>
              <i n="[Table2_2].[Reviews].&amp;[5983]" c="5983"/>
              <i n="[Table2_2].[Reviews].&amp;[6042]" c="6042"/>
              <i n="[Table2_2].[Reviews].&amp;[6108]" c="6108"/>
              <i n="[Table2_2].[Reviews].&amp;[6132]" c="6132"/>
              <i n="[Table2_2].[Reviews].&amp;[6143]" c="6143"/>
              <i n="[Table2_2].[Reviews].&amp;[6169]" c="6169"/>
              <i n="[Table2_2].[Reviews].&amp;[6222]" c="6222"/>
              <i n="[Table2_2].[Reviews].&amp;[6247]" c="6247"/>
              <i n="[Table2_2].[Reviews].&amp;[6310]" c="6310"/>
              <i n="[Table2_2].[Reviews].&amp;[6346]" c="6346"/>
              <i n="[Table2_2].[Reviews].&amp;[6377]" c="6377"/>
              <i n="[Table2_2].[Reviews].&amp;[6540]" c="6540"/>
              <i n="[Table2_2].[Reviews].&amp;[6600]" c="6600"/>
              <i n="[Table2_2].[Reviews].&amp;[6669]" c="6669"/>
              <i n="[Table2_2].[Reviews].&amp;[6679]" c="6679"/>
              <i n="[Table2_2].[Reviews].&amp;[6740]" c="6740"/>
              <i n="[Table2_2].[Reviews].&amp;[6812]" c="6812"/>
              <i n="[Table2_2].[Reviews].&amp;[6982]" c="6982"/>
              <i n="[Table2_2].[Reviews].&amp;[6990]" c="6990"/>
              <i n="[Table2_2].[Reviews].&amp;[7034]" c="7034"/>
              <i n="[Table2_2].[Reviews].&amp;[7038]" c="7038"/>
              <i n="[Table2_2].[Reviews].&amp;[7058]" c="7058"/>
              <i n="[Table2_2].[Reviews].&amp;[7062]" c="7062"/>
              <i n="[Table2_2].[Reviews].&amp;[7150]" c="7150"/>
              <i n="[Table2_2].[Reviews].&amp;[7153]" c="7153"/>
              <i n="[Table2_2].[Reviews].&amp;[7235]" c="7235"/>
              <i n="[Table2_2].[Reviews].&amp;[7251]" c="7251"/>
              <i n="[Table2_2].[Reviews].&amp;[7368]" c="7368"/>
              <i n="[Table2_2].[Reviews].&amp;[7396]" c="7396"/>
              <i n="[Table2_2].[Reviews].&amp;[7497]" c="7497"/>
              <i n="[Table2_2].[Reviews].&amp;[7508]" c="7508"/>
              <i n="[Table2_2].[Reviews].&amp;[7550]" c="7550"/>
              <i n="[Table2_2].[Reviews].&amp;[7660]" c="7660"/>
              <i n="[Table2_2].[Reviews].&amp;[7665]" c="7665"/>
              <i n="[Table2_2].[Reviews].&amp;[7747]" c="7747"/>
              <i n="[Table2_2].[Reviews].&amp;[7758]" c="7758"/>
              <i n="[Table2_2].[Reviews].&amp;[7802]" c="7802"/>
              <i n="[Table2_2].[Reviews].&amp;[7827]" c="7827"/>
              <i n="[Table2_2].[Reviews].&amp;[7861]" c="7861"/>
              <i n="[Table2_2].[Reviews].&amp;[7866]" c="7866"/>
              <i n="[Table2_2].[Reviews].&amp;[7932]" c="7932"/>
              <i n="[Table2_2].[Reviews].&amp;[7955]" c="7955"/>
              <i n="[Table2_2].[Reviews].&amp;[8081]" c="8081"/>
              <i n="[Table2_2].[Reviews].&amp;[8093]" c="8093"/>
              <i n="[Table2_2].[Reviews].&amp;[8170]" c="8170"/>
              <i n="[Table2_2].[Reviews].&amp;[8393]" c="8393"/>
              <i n="[Table2_2].[Reviews].&amp;[8491]" c="8491"/>
              <i n="[Table2_2].[Reviews].&amp;[8580]" c="8580"/>
              <i n="[Table2_2].[Reviews].&amp;[8587]" c="8587"/>
              <i n="[Table2_2].[Reviews].&amp;[8634]" c="8634"/>
              <i n="[Table2_2].[Reviews].&amp;[8747]" c="8747"/>
              <i n="[Table2_2].[Reviews].&amp;[8837]" c="8837"/>
              <i n="[Table2_2].[Reviews].&amp;[8842]" c="8842"/>
              <i n="[Table2_2].[Reviews].&amp;[8916]" c="8916"/>
              <i n="[Table2_2].[Reviews].&amp;[8922]" c="8922"/>
              <i n="[Table2_2].[Reviews].&amp;[8958]" c="8958"/>
              <i n="[Table2_2].[Reviews].&amp;[9030]" c="9030"/>
              <i n="[Table2_2].[Reviews].&amp;[9089]" c="9089"/>
              <i n="[Table2_2].[Reviews].&amp;[9198]" c="9198"/>
              <i n="[Table2_2].[Reviews].&amp;[9289]" c="9289"/>
              <i n="[Table2_2].[Reviews].&amp;[9292]" c="9292"/>
              <i n="[Table2_2].[Reviews].&amp;[9325]" c="9325"/>
              <i n="[Table2_2].[Reviews].&amp;[9342]" c="9342"/>
              <i n="[Table2_2].[Reviews].&amp;[9366]" c="9366"/>
              <i n="[Table2_2].[Reviews].&amp;[9372]" c="9372"/>
              <i n="[Table2_2].[Reviews].&amp;[9374]" c="9374"/>
              <i n="[Table2_2].[Reviews].&amp;[9382]" c="9382"/>
              <i n="[Table2_2].[Reviews].&amp;[9413]" c="9413"/>
              <i n="[Table2_2].[Reviews].&amp;[9568]" c="9568"/>
              <i n="[Table2_2].[Reviews].&amp;[9737]" c="9737"/>
              <i n="[Table2_2].[Reviews].&amp;[9769]" c="9769"/>
              <i n="[Table2_2].[Reviews].&amp;[9784]" c="9784"/>
              <i n="[Table2_2].[Reviews].&amp;[9867]" c="9867"/>
              <i n="[Table2_2].[Reviews].&amp;[9947]" c="9947"/>
              <i n="[Table2_2].[Reviews].&amp;[9967]" c="9967"/>
              <i n="[Table2_2].[Reviews].&amp;[10009]" c="10009"/>
              <i n="[Table2_2].[Reviews].&amp;[10052]" c="10052"/>
              <i n="[Table2_2].[Reviews].&amp;[10070]" c="10070"/>
              <i n="[Table2_2].[Reviews].&amp;[10101]" c="10101"/>
              <i n="[Table2_2].[Reviews].&amp;[10141]" c="10141"/>
              <i n="[Table2_2].[Reviews].&amp;[10191]" c="10191"/>
              <i n="[Table2_2].[Reviews].&amp;[10199]" c="10199"/>
              <i n="[Table2_2].[Reviews].&amp;[10369]" c="10369"/>
              <i n="[Table2_2].[Reviews].&amp;[10426]" c="10426"/>
              <i n="[Table2_2].[Reviews].&amp;[10559]" c="10559"/>
              <i n="[Table2_2].[Reviews].&amp;[10721]" c="10721"/>
              <i n="[Table2_2].[Reviews].&amp;[10760]" c="10760"/>
              <i n="[Table2_2].[Reviews].&amp;[10795]" c="10795"/>
              <i n="[Table2_2].[Reviews].&amp;[10820]" c="10820"/>
              <i n="[Table2_2].[Reviews].&amp;[10922]" c="10922"/>
              <i n="[Table2_2].[Reviews].&amp;[10927]" c="10927"/>
              <i n="[Table2_2].[Reviews].&amp;[11034]" c="11034"/>
              <i n="[Table2_2].[Reviews].&amp;[11098]" c="11098"/>
              <i n="[Table2_2].[Reviews].&amp;[11113]" c="11113"/>
              <i n="[Table2_2].[Reviews].&amp;[11128]" c="11128"/>
              <i n="[Table2_2].[Reviews].&amp;[11391]" c="11391"/>
              <i n="[Table2_2].[Reviews].&amp;[11550]" c="11550"/>
              <i n="[Table2_2].[Reviews].&amp;[11616]" c="11616"/>
              <i n="[Table2_2].[Reviews].&amp;[11676]" c="11676"/>
              <i n="[Table2_2].[Reviews].&amp;[11813]" c="11813"/>
              <i n="[Table2_2].[Reviews].&amp;[11881]" c="11881"/>
              <i n="[Table2_2].[Reviews].&amp;[12159]" c="12159"/>
              <i n="[Table2_2].[Reviews].&amp;[12361]" c="12361"/>
              <i n="[Table2_2].[Reviews].&amp;[12619]" c="12619"/>
              <i n="[Table2_2].[Reviews].&amp;[12643]" c="12643"/>
              <i n="[Table2_2].[Reviews].&amp;[13061]" c="13061"/>
              <i n="[Table2_2].[Reviews].&amp;[13471]" c="13471"/>
              <i n="[Table2_2].[Reviews].&amp;[13609]" c="13609"/>
              <i n="[Table2_2].[Reviews].&amp;[13616]" c="13616"/>
              <i n="[Table2_2].[Reviews].&amp;[13677]" c="13677"/>
              <i n="[Table2_2].[Reviews].&amp;[13779]" c="13779"/>
              <i n="[Table2_2].[Reviews].&amp;[13871]" c="13871"/>
              <i n="[Table2_2].[Reviews].&amp;[13964]" c="13964"/>
              <i n="[Table2_2].[Reviews].&amp;[14038]" c="14038"/>
              <i n="[Table2_2].[Reviews].&amp;[14331]" c="14331"/>
              <i n="[Table2_2].[Reviews].&amp;[14344]" c="14344"/>
              <i n="[Table2_2].[Reviews].&amp;[14493]" c="14493"/>
              <i n="[Table2_2].[Reviews].&amp;[14982]" c="14982"/>
              <i n="[Table2_2].[Reviews].&amp;[15526]" c="15526"/>
              <i n="[Table2_2].[Reviews].&amp;[15779]" c="15779"/>
              <i n="[Table2_2].[Reviews].&amp;[15845]" c="15845"/>
              <i n="[Table2_2].[Reviews].&amp;[15921]" c="15921"/>
              <i n="[Table2_2].[Reviews].&amp;[16244]" c="16244"/>
              <i n="[Table2_2].[Reviews].&amp;[16643]" c="16643"/>
              <i n="[Table2_2].[Reviews].&amp;[16949]" c="16949"/>
              <i n="[Table2_2].[Reviews].&amp;[16990]" c="16990"/>
              <i n="[Table2_2].[Reviews].&amp;[17044]" c="17044"/>
              <i n="[Table2_2].[Reviews].&amp;[17323]" c="17323"/>
              <i n="[Table2_2].[Reviews].&amp;[17350]" c="17350"/>
              <i n="[Table2_2].[Reviews].&amp;[17684]" c="17684"/>
              <i n="[Table2_2].[Reviews].&amp;[17739]" c="17739"/>
              <i n="[Table2_2].[Reviews].&amp;[18613]" c="18613"/>
              <i n="[Table2_2].[Reviews].&amp;[18904]" c="18904"/>
              <i n="[Table2_2].[Reviews].&amp;[18979]" c="18979"/>
              <i n="[Table2_2].[Reviews].&amp;[19546]" c="19546"/>
              <i n="[Table2_2].[Reviews].&amp;[19576]" c="19576"/>
              <i n="[Table2_2].[Reviews].&amp;[19622]" c="19622"/>
              <i n="[Table2_2].[Reviews].&amp;[19699]" c="19699"/>
              <i n="[Table2_2].[Reviews].&amp;[19720]" c="19720"/>
              <i n="[Table2_2].[Reviews].&amp;[19735]" c="19735"/>
              <i n="[Table2_2].[Reviews].&amp;[20262]" c="20262"/>
              <i n="[Table2_2].[Reviews].&amp;[21424]" c="21424"/>
              <i n="[Table2_2].[Reviews].&amp;[21625]" c="21625"/>
              <i n="[Table2_2].[Reviews].&amp;[21834]" c="21834"/>
              <i n="[Table2_2].[Reviews].&amp;[21930]" c="21930"/>
              <i n="[Table2_2].[Reviews].&amp;[22288]" c="22288"/>
              <i n="[Table2_2].[Reviews].&amp;[22536]" c="22536"/>
              <i n="[Table2_2].[Reviews].&amp;[22614]" c="22614"/>
              <i n="[Table2_2].[Reviews].&amp;[22641]" c="22641"/>
              <i n="[Table2_2].[Reviews].&amp;[23047]" c="23047"/>
              <i n="[Table2_2].[Reviews].&amp;[23114]" c="23114"/>
              <i n="[Table2_2].[Reviews].&amp;[23148]" c="23148"/>
              <i n="[Table2_2].[Reviews].&amp;[23308]" c="23308"/>
              <i n="[Table2_2].[Reviews].&amp;[23358]" c="23358"/>
              <i n="[Table2_2].[Reviews].&amp;[23631]" c="23631"/>
              <i n="[Table2_2].[Reviews].&amp;[23848]" c="23848"/>
              <i n="[Table2_2].[Reviews].&amp;[23973]" c="23973"/>
              <i n="[Table2_2].[Reviews].&amp;[25001]" c="25001"/>
              <i n="[Table2_2].[Reviews].&amp;[25554]" c="25554"/>
              <i n="[Table2_2].[Reviews].&amp;[25624]" c="25624"/>
              <i n="[Table2_2].[Reviews].&amp;[25706]" c="25706"/>
              <i n="[Table2_2].[Reviews].&amp;[26234]" c="26234"/>
              <i n="[Table2_2].[Reviews].&amp;[26490]" c="26490"/>
              <i n="[Table2_2].[Reviews].&amp;[26741]" c="26741"/>
              <i n="[Table2_2].[Reviews].&amp;[27098]" c="27098"/>
              <i n="[Table2_2].[Reviews].&amp;[27536]" c="27536"/>
              <i n="[Table2_2].[Reviews].&amp;[28729]" c="28729"/>
              <i n="[Table2_2].[Reviews].&amp;[29442]" c="29442"/>
              <i n="[Table2_2].[Reviews].&amp;[29651]" c="29651"/>
              <i n="[Table2_2].[Reviews].&amp;[29673]" c="29673"/>
              <i n="[Table2_2].[Reviews].&amp;[30183]" c="30183"/>
              <i n="[Table2_2].[Reviews].&amp;[32122]" c="32122"/>
              <i n="[Table2_2].[Reviews].&amp;[33844]" c="33844"/>
              <i n="[Table2_2].[Reviews].&amp;[35799]" c="35799"/>
              <i n="[Table2_2].[Reviews].&amp;[36348]" c="36348"/>
              <i n="[Table2_2].[Reviews].&amp;[39459]" c="39459"/>
              <i n="[Table2_2].[Reviews].&amp;[47265]" c="47265"/>
              <i n="[Table2_2].[Reviews].&amp;[49288]" c="49288"/>
              <i n="[Table2_2].[Reviews].&amp;[50482]" c="50482"/>
              <i n="[Table2_2].[Reviews].&amp;[57271]" c="57271"/>
              <i n="[Table2_2].[Reviews].&amp;[61133]" c="61133"/>
              <i n="[Table2_2].[Reviews].&amp;[79446]" c="79446"/>
              <i n="[Table2_2].[Reviews].&amp;[87841]" c="87841"/>
            </range>
          </ranges>
        </level>
      </levels>
      <selections count="1">
        <selection n="[Table2_2].[Review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8FA5C0A1-C3DB-4E77-9FCF-8C038E4AFF49}" sourceName="[Table2_2].[Genre]">
  <pivotTables>
    <pivotTable tabId="16" name="NUMBER OF REVIEWS PER BOOK"/>
    <pivotTable tabId="16" name="PivotTable36"/>
    <pivotTable tabId="3" name=" Proportion of Fiction vs. Non-Fiction"/>
    <pivotTable tabId="3" name="Average of user rating"/>
    <pivotTable tabId="3" name="Fiction or Non-Fiction has better ratings on average"/>
    <pivotTable tabId="3" name="PivotTable33"/>
    <pivotTable tabId="3" name="PivotTable55"/>
    <pivotTable tabId="3" name="trend over time with user rating"/>
    <pivotTable tabId="3" name="books with most reviews"/>
    <pivotTable tabId="3" name="most user reviews"/>
    <pivotTable tabId="16" name="the proportion of Fiction vs. Non-Fiction books."/>
    <pivotTable tabId="3" name="lowest user rating books"/>
    <pivotTable tabId="3" name="Top highest rating"/>
    <pivotTable tabId="3" name="PivotTable1"/>
  </pivotTables>
  <data>
    <olap pivotCacheId="853770634">
      <levels count="2">
        <level uniqueName="[Table2_2].[Genre].[(All)]" sourceCaption="(All)" count="0"/>
        <level uniqueName="[Table2_2].[Genre].[Genre]" sourceCaption="Genre" count="2">
          <ranges>
            <range startItem="0">
              <i n="[Table2_2].[Genre].&amp;[Fiction]" c="Fiction"/>
              <i n="[Table2_2].[Genre].&amp;[Non Fiction]" c="Non Fiction"/>
            </range>
          </ranges>
        </level>
      </levels>
      <selections count="1">
        <selection n="[Table2_2].[Genr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026A0E6-5C69-4303-92EF-7346ABE6CABA}" sourceName="Year">
  <pivotTables>
    <pivotTable tabId="16" name="PivotTable1"/>
  </pivotTables>
  <data>
    <tabular pivotCacheId="2143298144">
      <items count="11">
        <i x="7" s="1"/>
        <i x="6" s="1"/>
        <i x="1" s="1"/>
        <i x="10" s="1"/>
        <i x="9" s="1"/>
        <i x="5" s="1"/>
        <i x="8" s="1"/>
        <i x="0" s="1"/>
        <i x="3"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2E513A5F-0B74-4978-BBBF-48BBBA5FFDBC}" sourceName="[Table2_2].[Name]">
  <pivotTables>
    <pivotTable tabId="16" name="NUMBER OF REVIEWS PER BOOK"/>
    <pivotTable tabId="16" name="the proportion of Fiction vs. Non-Fiction books."/>
    <pivotTable tabId="16" name="PivotTable36"/>
  </pivotTables>
  <data>
    <olap pivotCacheId="228312572">
      <levels count="2">
        <level uniqueName="[Table2_2].[Name].[(All)]" sourceCaption="(All)" count="0"/>
        <level uniqueName="[Table2_2].[Name].[Name]" sourceCaption="Name" count="350">
          <ranges>
            <range startItem="0">
              <i n="[Table2_2].[Name].&amp;[10-Day Green Smoothie Cleanse]" c="10-Day Green Smoothie Cleanse"/>
              <i n="[Table2_2].[Name].&amp;[11/22/63: A Novel]" c="11/22/63: A Novel"/>
              <i n="[Table2_2].[Name].&amp;[12 Rules for Life: An Antidote to Chaos]" c="12 Rules for Life: An Antidote to Chaos"/>
              <i n="[Table2_2].[Name].&amp;[1984 (Signet Classics)]" c="1984 (Signet Classics)"/>
              <i n="[Table2_2].[Name].&amp;[5,000 Awesome Facts (About Everything!) (National Geographic Kids)]" c="5,000 Awesome Facts (About Everything!) (National Geographic Kids)"/>
              <i n="[Table2_2].[Name].&amp;[A Dance with Dragons (A Song of Ice and Fire)]" c="A Dance with Dragons (A Song of Ice and Fire)"/>
              <i n="[Table2_2].[Name].&amp;[A Game of Thrones / A Clash of Kings / A Storm of Swords / A Feast of Crows / A Dance with Dragons]" c="A Game of Thrones / A Clash of Kings / A Storm of Swords / A Feast of Crows / A Dance with Dragons"/>
              <i n="[Table2_2].[Name].&amp;[A Gentleman in Moscow: A Novel]" c="A Gentleman in Moscow: A Novel"/>
              <i n="[Table2_2].[Name].&amp;[A Higher Loyalty: Truth, Lies, and Leadership]" c="A Higher Loyalty: Truth, Lies, and Leadership"/>
              <i n="[Table2_2].[Name].&amp;[A Man Called Ove: A Novel]" c="A Man Called Ove: A Novel"/>
              <i n="[Table2_2].[Name].&amp;[A Patriot's History of the United States: From Columbus's Great Discovery to the War on Terror]" c="A Patriot's History of the United States: From Columbus's Great Discovery to the War on Terror"/>
              <i n="[Table2_2].[Name].&amp;[A Stolen Life: A Memoir]" c="A Stolen Life: A Memoir"/>
              <i n="[Table2_2].[Name].&amp;[A Wrinkle in Time (Time Quintet)]" c="A Wrinkle in Time (Time Quintet)"/>
              <i n="[Table2_2].[Name].&amp;[Act Like a Lady, Think Like a Man: What Men Really Think About Love, Relationships, Intimacy, and Commitment]" c="Act Like a Lady, Think Like a Man: What Men Really Think About Love, Relationships, Intimacy, and Commitment"/>
              <i n="[Table2_2].[Name].&amp;[Adult Coloring Book Designs: Stress Relief Coloring Book: Garden Designs, Mandalas, Animals, and Paisley Patterns]" c="Adult Coloring Book Designs: Stress Relief Coloring Book: Garden Designs, Mandalas, Animals, and Paisley Patterns"/>
              <i n="[Table2_2].[Name].&amp;[Adult Coloring Book: Stress Relieving Animal Designs]" c="Adult Coloring Book: Stress Relieving Animal Designs"/>
              <i n="[Table2_2].[Name].&amp;[Adult Coloring Book: Stress Relieving Patterns]" c="Adult Coloring Book: Stress Relieving Patterns"/>
              <i n="[Table2_2].[Name].&amp;[Adult Coloring Books: A Coloring Book for Adults Featuring Mandalas and Henna Inspired Flowers, Animals, and Paisleyâ€¦]" c="Adult Coloring Books: A Coloring Book for Adults Featuring Mandalas and Henna Inspired Flowers, Animals, and Paisleyâ€¦"/>
              <i n="[Table2_2].[Name].&amp;[Alexander Hamilton]" c="Alexander Hamilton"/>
              <i n="[Table2_2].[Name].&amp;[All the Light We Cannot See]" c="All the Light We Cannot See"/>
              <i n="[Table2_2].[Name].&amp;[Allegiant]" c="Allegiant"/>
              <i n="[Table2_2].[Name].&amp;[American Sniper: The Autobiography of the Most Lethal Sniper in U.S. Military History]" c="American Sniper: The Autobiography of the Most Lethal Sniper in U.S. Military History"/>
              <i n="[Table2_2].[Name].&amp;[And the Mountains Echoed]" c="And the Mountains Echoed"/>
              <i n="[Table2_2].[Name].&amp;[Arguing with Idiots: How to Stop Small Minds and Big Government]" c="Arguing with Idiots: How to Stop Small Minds and Big Government"/>
              <i n="[Table2_2].[Name].&amp;[Astrophysics for People in a Hurry]" c="Astrophysics for People in a Hurry"/>
              <i n="[Table2_2].[Name].&amp;[Autobiography of Mark Twain, Vol. 1]" c="Autobiography of Mark Twain, Vol. 1"/>
              <i n="[Table2_2].[Name].&amp;[Baby Touch and Feel: Animals]" c="Baby Touch and Feel: Animals"/>
              <i n="[Table2_2].[Name].&amp;[Balance (Angie's Extreme Stress Menders)]" c="Balance (Angie's Extreme Stress Menders)"/>
              <i n="[Table2_2].[Name].&amp;[Barefoot Contessa Foolproof: Recipes You Can Trust: A Cookbook]" c="Barefoot Contessa Foolproof: Recipes You Can Trust: A Cookbook"/>
              <i n="[Table2_2].[Name].&amp;[Barefoot Contessa, How Easy Is That?: Fabulous Recipes &amp; Easy Tips]" c="Barefoot Contessa, How Easy Is That?: Fabulous Recipes &amp; Easy Tips"/>
              <i n="[Table2_2].[Name].&amp;[Becoming]" c="Becoming"/>
              <i n="[Table2_2].[Name].&amp;[Being Mortal: Medicine and What Matters in the End]" c="Being Mortal: Medicine and What Matters in the End"/>
              <i n="[Table2_2].[Name].&amp;[Between the World and Me]" c="Between the World and Me"/>
              <i n="[Table2_2].[Name].&amp;[Born to Run]" c="Born to Run"/>
              <i n="[Table2_2].[Name].&amp;[Breaking Dawn (The Twilight Saga, Book 4)]" c="Breaking Dawn (The Twilight Saga, Book 4)"/>
              <i n="[Table2_2].[Name].&amp;[Broke: The Plan to Restore Our Trust, Truth and Treasure]" c="Broke: The Plan to Restore Our Trust, Truth and Treasure"/>
              <i n="[Table2_2].[Name].&amp;[Brown Bear, Brown Bear, What Do You See?]" c="Brown Bear, Brown Bear, What Do You See?"/>
              <i n="[Table2_2].[Name].&amp;[Cabin Fever (Diary of a Wimpy Kid, Book 6)]" c="Cabin Fever (Diary of a Wimpy Kid, Book 6)"/>
              <i n="[Table2_2].[Name].&amp;[Calm the F*ck Down: An Irreverent Adult Coloring Book (Irreverent Book Series)]" c="Calm the F*ck Down: An Irreverent Adult Coloring Book (Irreverent Book Series)"/>
              <i n="[Table2_2].[Name].&amp;[Can't Hurt Me: Master Your Mind and Defy the Odds]" c="Can't Hurt Me: Master Your Mind and Defy the Odds"/>
              <i n="[Table2_2].[Name].&amp;[Capital in the Twenty First Century]" c="Capital in the Twenty First Century"/>
              <i n="[Table2_2].[Name].&amp;[Catching Fire (The Hunger Games)]" c="Catching Fire (The Hunger Games)"/>
              <i n="[Table2_2].[Name].&amp;[Cravings: Recipes for All the Food You Want to Eat: A Cookbook]" c="Cravings: Recipes for All the Food You Want to Eat: A Cookbook"/>
              <i n="[Table2_2].[Name].&amp;[Crazy Love: Overwhelmed by a Relentless God]" c="Crazy Love: Overwhelmed by a Relentless God"/>
              <i n="[Table2_2].[Name].&amp;[Crazy Rich Asians (Crazy Rich Asians Trilogy)]" c="Crazy Rich Asians (Crazy Rich Asians Trilogy)"/>
              <i n="[Table2_2].[Name].&amp;[Creative Haven Creative Cats Coloring Book (Adult Coloring)]" c="Creative Haven Creative Cats Coloring Book (Adult Coloring)"/>
              <i n="[Table2_2].[Name].&amp;[Creative Haven Owls Coloring Book (Adult Coloring)]" c="Creative Haven Owls Coloring Book (Adult Coloring)"/>
              <i n="[Table2_2].[Name].&amp;[Cutting for Stone]" c="Cutting for Stone"/>
              <i n="[Table2_2].[Name].&amp;[Daring Greatly: How the Courage to Be Vulnerable Transforms the Way We Live, Love, Parent, and Lead]" c="Daring Greatly: How the Courage to Be Vulnerable Transforms the Way We Live, Love, Parent, and Lead"/>
              <i n="[Table2_2].[Name].&amp;[David and Goliath: Underdogs, Misfits, and the Art of Battling Giants]" c="David and Goliath: Underdogs, Misfits, and the Art of Battling Giants"/>
              <i n="[Table2_2].[Name].&amp;[Dead And Gone: A Sookie Stackhouse Novel (Sookie Stackhouse/True Blood)]" c="Dead And Gone: A Sookie Stackhouse Novel (Sookie Stackhouse/True Blood)"/>
              <i n="[Table2_2].[Name].&amp;[Dead in the Family (Sookie Stackhouse/True Blood, Book 10)]" c="Dead in the Family (Sookie Stackhouse/True Blood, Book 10)"/>
              <i n="[Table2_2].[Name].&amp;[Dead Reckoning (Sookie Stackhouse/True Blood, Book 11)]" c="Dead Reckoning (Sookie Stackhouse/True Blood, Book 11)"/>
              <i n="[Table2_2].[Name].&amp;[Dear Zoo: A Lift-the-Flap Book]" c="Dear Zoo: A Lift-the-Flap Book"/>
              <i n="[Table2_2].[Name].&amp;[Decision Points]" c="Decision Points"/>
              <i n="[Table2_2].[Name].&amp;[Delivering Happiness: A Path to Profits, Passion, and Purpose]" c="Delivering Happiness: A Path to Profits, Passion, and Purpose"/>
              <i n="[Table2_2].[Name].&amp;[Diagnostic and Statistical Manual of Mental Disorders, 5th Edition: DSM-5]" c="Diagnostic and Statistical Manual of Mental Disorders, 5th Edition: DSM-5"/>
              <i n="[Table2_2].[Name].&amp;[Diary of a Wimpy Kid: Hard Luck, Book 8]" c="Diary of a Wimpy Kid: Hard Luck, Book 8"/>
              <i n="[Table2_2].[Name].&amp;[Diary of a Wimpy Kid: The Last Straw (Book 3)]" c="Diary of a Wimpy Kid: The Last Straw (Book 3)"/>
              <i n="[Table2_2].[Name].&amp;[Diary of a Wimpy Kid: The Long Haul]" c="Diary of a Wimpy Kid: The Long Haul"/>
              <i n="[Table2_2].[Name].&amp;[Difficult Riddles For Smart Kids: 300 Difficult Riddles And Brain Teasers Families Will Love (Books for Smart Kids)]" c="Difficult Riddles For Smart Kids: 300 Difficult Riddles And Brain Teasers Families Will Love (Books for Smart Kids)"/>
              <i n="[Table2_2].[Name].&amp;[Divergent]" c="Divergent"/>
              <i n="[Table2_2].[Name].&amp;[Divergent / Insurgent]" c="Divergent / Insurgent"/>
              <i n="[Table2_2].[Name].&amp;[Divine Soul Mind Body Healing and Transmission System: The Divine Way to Heal You, Humanity, Mother Earth, and Allâ€¦]" c="Divine Soul Mind Body Healing and Transmission System: The Divine Way to Heal You, Humanity, Mother Earth, and Allâ€¦"/>
              <i n="[Table2_2].[Name].&amp;[Doctor Sleep: A Novel]" c="Doctor Sleep: A Novel"/>
              <i n="[Table2_2].[Name].&amp;[Dog Days (Diary of a Wimpy Kid, Book 4) (Volume 4)]" c="Dog Days (Diary of a Wimpy Kid, Book 4) (Volume 4)"/>
              <i n="[Table2_2].[Name].&amp;[Dog Man and Cat Kid: From the Creator of Captain Underpants (Dog Man #4)]" c="Dog Man and Cat Kid: From the Creator of Captain Underpants (Dog Man #4)"/>
              <i n="[Table2_2].[Name].&amp;[Dog Man: A Tale of Two Kitties: From the Creator of Captain Underpants (Dog Man #3)]" c="Dog Man: A Tale of Two Kitties: From the Creator of Captain Underpants (Dog Man #3)"/>
              <i n="[Table2_2].[Name].&amp;[Dog Man: Brawl of the Wild: From the Creator of Captain Underpants (Dog Man #6)]" c="Dog Man: Brawl of the Wild: From the Creator of Captain Underpants (Dog Man #6)"/>
              <i n="[Table2_2].[Name].&amp;[Dog Man: Fetch-22: From the Creator of Captain Underpants (Dog Man #8)]" c="Dog Man: Fetch-22: From the Creator of Captain Underpants (Dog Man #8)"/>
              <i n="[Table2_2].[Name].&amp;[Dog Man: For Whom the Ball Rolls: From the Creator of Captain Underpants (Dog Man #7)]" c="Dog Man: For Whom the Ball Rolls: From the Creator of Captain Underpants (Dog Man #7)"/>
              <i n="[Table2_2].[Name].&amp;[Dog Man: Lord of the Fleas: From the Creator of Captain Underpants (Dog Man #5)]" c="Dog Man: Lord of the Fleas: From the Creator of Captain Underpants (Dog Man #5)"/>
              <i n="[Table2_2].[Name].&amp;[Double Down (Diary of a Wimpy Kid #11)]" c="Double Down (Diary of a Wimpy Kid #11)"/>
              <i n="[Table2_2].[Name].&amp;[Dover Creative Haven Art Nouveau Animal Designs Coloring Book (Creative Haven Coloring Books)]" c="Dover Creative Haven Art Nouveau Animal Designs Coloring Book (Creative Haven Coloring Books)"/>
              <i n="[Table2_2].[Name].&amp;[Drive: The Surprising Truth About What Motivates Us]" c="Drive: The Surprising Truth About What Motivates Us"/>
              <i n="[Table2_2].[Name].&amp;[Eat This Not That! Supermarket Survival Guide: The No-Diet Weight Loss Solution]" c="Eat This Not That! Supermarket Survival Guide: The No-Diet Weight Loss Solution"/>
              <i n="[Table2_2].[Name].&amp;[Eat This, Not That! Thousands of Simple Food Swaps that Can Save You 10, 20, 30 Pounds--or More!]" c="Eat This, Not That! Thousands of Simple Food Swaps that Can Save You 10, 20, 30 Pounds--or More!"/>
              <i n="[Table2_2].[Name].&amp;[Eat to Live: The Amazing Nutrient-Rich Program for Fast and Sustained Weight Loss, Revised Edition]" c="Eat to Live: The Amazing Nutrient-Rich Program for Fast and Sustained Weight Loss, Revised Edition"/>
              <i n="[Table2_2].[Name].&amp;[Eclipse (Twilight Sagas)]" c="Eclipse (Twilight Sagas)"/>
              <i n="[Table2_2].[Name].&amp;[Eclipse (Twilight)]" c="Eclipse (Twilight)"/>
              <i n="[Table2_2].[Name].&amp;[Educated: A Memoir]" c="Educated: A Memoir"/>
              <i n="[Table2_2].[Name].&amp;[Enchanted Forest: An Inky Quest and Coloring book (Activity Books, Mindfulness and Meditation, Illustrated Floral Printsâ€¦]" c="Enchanted Forest: An Inky Quest and Coloring book (Activity Books, Mindfulness and Meditation, Illustrated Floral Printsâ€¦"/>
              <i n="[Table2_2].[Name].&amp;[Fahrenheit 451]" c="Fahrenheit 451"/>
              <i n="[Table2_2].[Name].&amp;[Fantastic Beasts and Where to Find Them: The Original Screenplay (Harry Potter)]" c="Fantastic Beasts and Where to Find Them: The Original Screenplay (Harry Potter)"/>
              <i n="[Table2_2].[Name].&amp;[Fear: Trump in the White House]" c="Fear: Trump in the White House"/>
              <i n="[Table2_2].[Name].&amp;[Fifty Shades Darker]" c="Fifty Shades Darker"/>
              <i n="[Table2_2].[Name].&amp;[Fifty Shades Freed: Book Three of the Fifty Shades Trilogy (Fifty Shades of Grey Series) (English Edition)]" c="Fifty Shades Freed: Book Three of the Fifty Shades Trilogy (Fifty Shades of Grey Series) (English Edition)"/>
              <i n="[Table2_2].[Name].&amp;[Fifty Shades of Grey: Book One of the Fifty Shades Trilogy (Fifty Shades of Grey Series)]" c="Fifty Shades of Grey: Book One of the Fifty Shades Trilogy (Fifty Shades of Grey Series)"/>
              <i n="[Table2_2].[Name].&amp;[Fifty Shades Trilogy (Fifty Shades of Grey / Fifty Shades Darker / Fifty Shades Freed)]" c="Fifty Shades Trilogy (Fifty Shades of Grey / Fifty Shades Darker / Fifty Shades Freed)"/>
              <i n="[Table2_2].[Name].&amp;[Fire and Fury: Inside the Trump White House]" c="Fire and Fury: Inside the Trump White House"/>
              <i n="[Table2_2].[Name].&amp;[First 100 Words]" c="First 100 Words"/>
              <i n="[Table2_2].[Name].&amp;[Food Rules: An Eater's Manual]" c="Food Rules: An Eater's Manual"/>
              <i n="[Table2_2].[Name].&amp;[Frozen (Little Golden Book)]" c="Frozen (Little Golden Book)"/>
              <i n="[Table2_2].[Name].&amp;[Game Change: Obama and the Clintons, McCain and Palin, and the Race of a Lifetime]" c="Game Change: Obama and the Clintons, McCain and Palin, and the Race of a Lifetime"/>
              <i n="[Table2_2].[Name].&amp;[Game of Thrones Boxed Set: A Game of Thrones/A Clash of Kings/A Storm of Swords/A Feast for Crows]" c="Game of Thrones Boxed Set: A Game of Thrones/A Clash of Kings/A Storm of Swords/A Feast for Crows"/>
              <i n="[Table2_2].[Name].&amp;[George Washington's Sacred Fire]" c="George Washington's Sacred Fire"/>
              <i n="[Table2_2].[Name].&amp;[George Washington's Secret Six: The Spy Ring That Saved the American Revolution]" c="George Washington's Secret Six: The Spy Ring That Saved the American Revolution"/>
              <i n="[Table2_2].[Name].&amp;[Giraffes Can't Dance]" c="Giraffes Can't Dance"/>
              <i n="[Table2_2].[Name].&amp;[Girl, Stop Apologizing: A Shame-Free Plan for Embracing and Achieving Your Goals]" c="Girl, Stop Apologizing: A Shame-Free Plan for Embracing and Achieving Your Goals"/>
              <i n="[Table2_2].[Name].&amp;[Girl, Wash Your Face: Stop Believing the Lies About Who You Are So You Can Become Who You Were Meant to Be]" c="Girl, Wash Your Face: Stop Believing the Lies About Who You Are So You Can Become Who You Were Meant to Be"/>
              <i n="[Table2_2].[Name].&amp;[Glenn Beck's Common Sense: The Case Against an Out-of-Control Government, Inspired by Thomas Paine]" c="Glenn Beck's Common Sense: The Case Against an Out-of-Control Government, Inspired by Thomas Paine"/>
              <i n="[Table2_2].[Name].&amp;[Go Set a Watchman: A Novel]" c="Go Set a Watchman: A Novel"/>
              <i n="[Table2_2].[Name].&amp;[Go the F**k to Sleep]" c="Go the F**k to Sleep"/>
              <i n="[Table2_2].[Name].&amp;[Going Rogue: An American Life]" c="Going Rogue: An American Life"/>
              <i n="[Table2_2].[Name].&amp;[Gone Girl]" c="Gone Girl"/>
              <i n="[Table2_2].[Name].&amp;[Good Days Start With Gratitude: A 52 Week Guide To Cultivate An Attitude Of Gratitude: Gratitude Journal]" c="Good Days Start With Gratitude: A 52 Week Guide To Cultivate An Attitude Of Gratitude: Gratitude Journal"/>
              <i n="[Table2_2].[Name].&amp;[Good to Great: Why Some Companies Make the Leap and Others Don't]" c="Good to Great: Why Some Companies Make the Leap and Others Don't"/>
              <i n="[Table2_2].[Name].&amp;[Goodnight Moon]" c="Goodnight Moon"/>
              <i n="[Table2_2].[Name].&amp;[Goodnight, Goodnight Construction Site (Hardcover Books for Toddlers, Preschool Books for Kids)]" c="Goodnight, Goodnight Construction Site (Hardcover Books for Toddlers, Preschool Books for Kids)"/>
              <i n="[Table2_2].[Name].&amp;[Grain Brain: The Surprising Truth about Wheat, Carbs, and Sugar--Your Brain's Silent Killers]" c="Grain Brain: The Surprising Truth about Wheat, Carbs, and Sugar--Your Brain's Silent Killers"/>
              <i n="[Table2_2].[Name].&amp;[Grey: Fifty Shades of Grey as Told by Christian (Fifty Shades of Grey Series)]" c="Grey: Fifty Shades of Grey as Told by Christian (Fifty Shades of Grey Series)"/>
              <i n="[Table2_2].[Name].&amp;[Guts]" c="Guts"/>
              <i n="[Table2_2].[Name].&amp;[Hamilton: The Revolution]" c="Hamilton: The Revolution"/>
              <i n="[Table2_2].[Name].&amp;[Happy, Happy, Happy: My Life and Legacy as the Duck Commander]" c="Happy, Happy, Happy: My Life and Legacy as the Duck Commander"/>
              <i n="[Table2_2].[Name].&amp;[Harry Potter and the Chamber of Secrets: The Illustrated Edition (Harry Potter, Book 2)]" c="Harry Potter and the Chamber of Secrets: The Illustrated Edition (Harry Potter, Book 2)"/>
              <i n="[Table2_2].[Name].&amp;[Harry Potter and the Cursed Child, Parts 1 &amp; 2, Special Rehearsal Edition Script]" c="Harry Potter and the Cursed Child, Parts 1 &amp; 2, Special Rehearsal Edition Script"/>
              <i n="[Table2_2].[Name].&amp;[Harry Potter and the Goblet of Fire: The Illustrated Edition (Harry Potter, Book 4) (4)]" c="Harry Potter and the Goblet of Fire: The Illustrated Edition (Harry Potter, Book 4) (4)"/>
              <i n="[Table2_2].[Name].&amp;[Harry Potter and the Prisoner of Azkaban: The Illustrated Edition (Harry Potter, Book 3)]" c="Harry Potter and the Prisoner of Azkaban: The Illustrated Edition (Harry Potter, Book 3)"/>
              <i n="[Table2_2].[Name].&amp;[Harry Potter and the Sorcerer's Stone: The Illustrated Edition (Harry Potter, Book 1)]" c="Harry Potter and the Sorcerer's Stone: The Illustrated Edition (Harry Potter, Book 1)"/>
              <i n="[Table2_2].[Name].&amp;[Harry Potter Coloring Book]" c="Harry Potter Coloring Book"/>
              <i n="[Table2_2].[Name].&amp;[Harry Potter Paperback Box Set (Books 1-7)]" c="Harry Potter Paperback Box Set (Books 1-7)"/>
              <i n="[Table2_2].[Name].&amp;[Have a Little Faith: A True Story]" c="Have a Little Faith: A True Story"/>
              <i n="[Table2_2].[Name].&amp;[Heaven is for Real: A Little Boy's Astounding Story of His Trip to Heaven and Back]" c="Heaven is for Real: A Little Boy's Astounding Story of His Trip to Heaven and Back"/>
              <i n="[Table2_2].[Name].&amp;[Hillbilly Elegy: A Memoir of a Family and Culture in Crisis]" c="Hillbilly Elegy: A Memoir of a Family and Culture in Crisis"/>
              <i n="[Table2_2].[Name].&amp;[Homebody: A Guide to Creating Spaces You Never Want to Leave]" c="Homebody: A Guide to Creating Spaces You Never Want to Leave"/>
              <i n="[Table2_2].[Name].&amp;[How to Win Friends &amp; Influence People]" c="How to Win Friends &amp; Influence People"/>
              <i n="[Table2_2].[Name].&amp;[Howard Stern Comes Again]" c="Howard Stern Comes Again"/>
              <i n="[Table2_2].[Name].&amp;[Humans of New York]" c="Humans of New York"/>
              <i n="[Table2_2].[Name].&amp;[Humans of New York : Stories]" c="Humans of New York : Stories"/>
              <i n="[Table2_2].[Name].&amp;[Hyperbole and a Half: Unfortunate Situations, Flawed Coping Mechanisms, Mayhem, and Other Things That Happened]" c="Hyperbole and a Half: Unfortunate Situations, Flawed Coping Mechanisms, Mayhem, and Other Things That Happened"/>
              <i n="[Table2_2].[Name].&amp;[I Am Confident, Brave &amp; Beautiful: A Coloring Book for Girls]" c="I Am Confident, Brave &amp; Beautiful: A Coloring Book for Girls"/>
              <i n="[Table2_2].[Name].&amp;[I, Alex Cross]" c="I, Alex Cross"/>
              <i n="[Table2_2].[Name].&amp;[If Animals Kissed Good Night]" c="If Animals Kissed Good Night"/>
              <i n="[Table2_2].[Name].&amp;[If I Stay]" c="If I Stay"/>
              <i n="[Table2_2].[Name].&amp;[In the Garden of Beasts: Love, Terror, and an American Family in Hitler's Berlin]" c="In the Garden of Beasts: Love, Terror, and an American Family in Hitler's Berlin"/>
              <i n="[Table2_2].[Name].&amp;[Inferno]" c="Inferno"/>
              <i n="[Table2_2].[Name].&amp;[Inheritance: Book IV (Inheritance Cycle)]" c="Inheritance: Book IV (Inheritance Cycle)"/>
              <i n="[Table2_2].[Name].&amp;[Instant Pot Pressure Cooker Cookbook: 500 Everyday Recipes for Beginners and Advanced Users. Try Easy and Healthyâ€¦]" c="Instant Pot Pressure Cooker Cookbook: 500 Everyday Recipes for Beginners and Advanced Users. Try Easy and Healthyâ€¦"/>
              <i n="[Table2_2].[Name].&amp;[It's Not Supposed to Be This Way: Finding Unexpected Strength When Disappointments Leave You Shattered]" c="It's Not Supposed to Be This Way: Finding Unexpected Strength When Disappointments Leave You Shattered"/>
              <i n="[Table2_2].[Name].&amp;[Jesus Calling: Enjoying Peace in His Presence (with Scripture References)]" c="Jesus Calling: Enjoying Peace in His Presence (with Scripture References)"/>
              <i n="[Table2_2].[Name].&amp;[JOURNEY TO THE ICE P]" c="JOURNEY TO THE ICE P"/>
              <i n="[Table2_2].[Name].&amp;[Joyland (Hard Case Crime)]" c="Joyland (Hard Case Crime)"/>
              <i n="[Table2_2].[Name].&amp;[Killers of the Flower Moon: The Osage Murders and the Birth of the FBI]" c="Killers of the Flower Moon: The Osage Murders and the Birth of the FBI"/>
              <i n="[Table2_2].[Name].&amp;[Killing Jesus (Bill O'Reilly's Killing Series)]" c="Killing Jesus (Bill O'Reilly's Killing Series)"/>
              <i n="[Table2_2].[Name].&amp;[Killing Kennedy: The End of Camelot]" c="Killing Kennedy: The End of Camelot"/>
              <i n="[Table2_2].[Name].&amp;[Killing Lincoln: The Shocking Assassination that Changed America Forever (Bill O'Reilly's Killing Series)]" c="Killing Lincoln: The Shocking Assassination that Changed America Forever (Bill O'Reilly's Killing Series)"/>
              <i n="[Table2_2].[Name].&amp;[Killing Patton: The Strange Death of World War II's Most Audacious General (Bill O'Reilly's Killing Series)]" c="Killing Patton: The Strange Death of World War II's Most Audacious General (Bill O'Reilly's Killing Series)"/>
              <i n="[Table2_2].[Name].&amp;[Killing Reagan: The Violent Assault That Changed a Presidency (Bill O'Reilly's Killing Series)]" c="Killing Reagan: The Violent Assault That Changed a Presidency (Bill O'Reilly's Killing Series)"/>
              <i n="[Table2_2].[Name].&amp;[Killing the Rising Sun: How America Vanquished World War II Japan (Bill O'Reilly's Killing Series)]" c="Killing the Rising Sun: How America Vanquished World War II Japan (Bill O'Reilly's Killing Series)"/>
              <i n="[Table2_2].[Name].&amp;[Kitchen Confidential Updated Edition: Adventures in the Culinary Underbelly (P.S.)]" c="Kitchen Confidential Updated Edition: Adventures in the Culinary Underbelly (P.S.)"/>
              <i n="[Table2_2].[Name].&amp;[Knock-Knock Jokes for Kids]" c="Knock-Knock Jokes for Kids"/>
              <i n="[Table2_2].[Name].&amp;[Last Week Tonight with John Oliver Presents A Day in the Life of Marlon Bundo (Better Bundo Book, LGBT ChildrenÂ’s Book)]" c="Last Week Tonight with John Oliver Presents A Day in the Life of Marlon Bundo (Better Bundo Book, LGBT ChildrenÂ’s Book)"/>
              <i n="[Table2_2].[Name].&amp;[Laugh-Out-Loud Jokes for Kids]" c="Laugh-Out-Loud Jokes for Kids"/>
              <i n="[Table2_2].[Name].&amp;[Lean In: Women, Work, and the Will to Lead]" c="Lean In: Women, Work, and the Will to Lead"/>
              <i n="[Table2_2].[Name].&amp;[Leonardo da Vinci]" c="Leonardo da Vinci"/>
              <i n="[Table2_2].[Name].&amp;[Lettering and Modern Calligraphy: A Beginner's Guide: Learn Hand Lettering and Brush Lettering]" c="Lettering and Modern Calligraphy: A Beginner's Guide: Learn Hand Lettering and Brush Lettering"/>
              <i n="[Table2_2].[Name].&amp;[Liberty and Tyranny: A Conservative Manifesto]" c="Liberty and Tyranny: A Conservative Manifesto"/>
              <i n="[Table2_2].[Name].&amp;[Life]" c="Life"/>
              <i n="[Table2_2].[Name].&amp;[Little Bee: A Novel]" c="Little Bee: A Novel"/>
              <i n="[Table2_2].[Name].&amp;[Little Blue Truck]" c="Little Blue Truck"/>
              <i n="[Table2_2].[Name].&amp;[Little Fires Everywhere]" c="Little Fires Everywhere"/>
              <i n="[Table2_2].[Name].&amp;[Looking for Alaska]" c="Looking for Alaska"/>
              <i n="[Table2_2].[Name].&amp;[Love Wins: A Book About Heaven, Hell, and the Fate of Every Person Who Ever Lived]" c="Love Wins: A Book About Heaven, Hell, and the Fate of Every Person Who Ever Lived"/>
              <i n="[Table2_2].[Name].&amp;[Love You Forever]" c="Love You Forever"/>
              <i n="[Table2_2].[Name].&amp;[Magnolia Table: A Collection of Recipes for Gathering]" c="Magnolia Table: A Collection of Recipes for Gathering"/>
              <i n="[Table2_2].[Name].&amp;[Make It Ahead: A Barefoot Contessa Cookbook]" c="Make It Ahead: A Barefoot Contessa Cookbook"/>
              <i n="[Table2_2].[Name].&amp;[Make Your Bed: Little Things That Can Change Your Life...And Maybe the World]" c="Make Your Bed: Little Things That Can Change Your Life...And Maybe the World"/>
              <i n="[Table2_2].[Name].&amp;[Mastering the Art of French Cooking, Vol. 2]" c="Mastering the Art of French Cooking, Vol. 2"/>
              <i n="[Table2_2].[Name].&amp;[Milk and Honey]" c="Milk and Honey"/>
              <i n="[Table2_2].[Name].&amp;[Milk and Vine: Inspirational Quotes From Classic Vines]" c="Milk and Vine: Inspirational Quotes From Classic Vines"/>
              <i n="[Table2_2].[Name].&amp;[Mindset: The New Psychology of Success]" c="Mindset: The New Psychology of Success"/>
              <i n="[Table2_2].[Name].&amp;[Mockingjay (The Hunger Games)]" c="Mockingjay (The Hunger Games)"/>
              <i n="[Table2_2].[Name].&amp;[National Geographic Kids Why?: Over 1,111 Answers to Everything]" c="National Geographic Kids Why?: Over 1,111 Answers to Everything"/>
              <i n="[Table2_2].[Name].&amp;[National Geographic Little Kids First Big Book of Why (National Geographic Little Kids First Big Books)]" c="National Geographic Little Kids First Big Book of Why (National Geographic Little Kids First Big Books)"/>
              <i n="[Table2_2].[Name].&amp;[New Moon (The Twilight Saga)]" c="New Moon (The Twilight Saga)"/>
              <i n="[Table2_2].[Name].&amp;[Night (Night)]" c="Night (Night)"/>
              <i n="[Table2_2].[Name].&amp;[No Easy Day: The Autobiography of a Navy Seal: The Firsthand Account of the Mission That Killed Osama Bin Laden]" c="No Easy Day: The Autobiography of a Navy Seal: The Firsthand Account of the Mission That Killed Osama Bin Laden"/>
              <i n="[Table2_2].[Name].&amp;[Obama: An Intimate Portrait]" c="Obama: An Intimate Portrait"/>
              <i n="[Table2_2].[Name].&amp;[Oh, the Places You'll Go!]" c="Oh, the Places You'll Go!"/>
              <i n="[Table2_2].[Name].&amp;[Old School (Diary of a Wimpy Kid #10)]" c="Old School (Diary of a Wimpy Kid #10)"/>
              <i n="[Table2_2].[Name].&amp;[Olive Kitteridge]" c="Olive Kitteridge"/>
              <i n="[Table2_2].[Name].&amp;[One Thousand Gifts: A Dare to Live Fully Right Where You Are]" c="One Thousand Gifts: A Dare to Live Fully Right Where You Are"/>
              <i n="[Table2_2].[Name].&amp;[Option B: Facing Adversity, Building Resilience, and Finding Joy]" c="Option B: Facing Adversity, Building Resilience, and Finding Joy"/>
              <i n="[Table2_2].[Name].&amp;[Origin: A Novel (Robert Langdon)]" c="Origin: A Novel (Robert Langdon)"/>
              <i n="[Table2_2].[Name].&amp;[Orphan Train]" c="Orphan Train"/>
              <i n="[Table2_2].[Name].&amp;[Outliers: The Story of Success]" c="Outliers: The Story of Success"/>
              <i n="[Table2_2].[Name].&amp;[P is for Potty! (Sesame Street) (Lift-the-Flap)]" c="P is for Potty! (Sesame Street) (Lift-the-Flap)"/>
              <i n="[Table2_2].[Name].&amp;[Percy Jackson and the Olympians Paperback Boxed Set (Books 1-3)]" c="Percy Jackson and the Olympians Paperback Boxed Set (Books 1-3)"/>
              <i n="[Table2_2].[Name].&amp;[Player's Handbook (Dungeons &amp; Dragons)]" c="Player's Handbook (Dungeons &amp; Dragons)"/>
              <i n="[Table2_2].[Name].&amp;[PokÃ©mon Deluxe Essential Handbook: The Need-to-Know Stats and Facts on Over 700 PokÃ©mon]" c="PokÃ©mon Deluxe Essential Handbook: The Need-to-Know Stats and Facts on Over 700 PokÃ©mon"/>
              <i n="[Table2_2].[Name].&amp;[Proof of Heaven: A Neurosurgeon's Journey into the Afterlife]" c="Proof of Heaven: A Neurosurgeon's Journey into the Afterlife"/>
              <i n="[Table2_2].[Name].&amp;[Publication Manual of the American Psychological Association, 6th Edition]" c="Publication Manual of the American Psychological Association, 6th Edition"/>
              <i n="[Table2_2].[Name].&amp;[Puppy Birthday to You! (Paw Patrol) (Little Golden Book)]" c="Puppy Birthday to You! (Paw Patrol) (Little Golden Book)"/>
              <i n="[Table2_2].[Name].&amp;[Quiet: The Power of Introverts in a World That Can't Stop Talking]" c="Quiet: The Power of Introverts in a World That Can't Stop Talking"/>
              <i n="[Table2_2].[Name].&amp;[Radical: Taking Back Your Faith from the American Dream]" c="Radical: Taking Back Your Faith from the American Dream"/>
              <i n="[Table2_2].[Name].&amp;[Ready Player One: A Novel]" c="Ready Player One: A Novel"/>
              <i n="[Table2_2].[Name].&amp;[Rush Revere and the Brave Pilgrims: Time-Travel Adventures with Exceptional Americans (1)]" c="Rush Revere and the Brave Pilgrims: Time-Travel Adventures with Exceptional Americans (1)"/>
              <i n="[Table2_2].[Name].&amp;[Rush Revere and the First Patriots: Time-Travel Adventures With Exceptional Americans (2)]" c="Rush Revere and the First Patriots: Time-Travel Adventures With Exceptional Americans (2)"/>
              <i n="[Table2_2].[Name].&amp;[Salt, Fat, Acid, Heat: Mastering the Elements of Good Cooking]" c="Salt, Fat, Acid, Heat: Mastering the Elements of Good Cooking"/>
              <i n="[Table2_2].[Name].&amp;[Sarah's Key]" c="Sarah's Key"/>
              <i n="[Table2_2].[Name].&amp;[School Zone - Big Preschool Workbook - Ages 4 and Up, Colors, Shapes, Numbers 1-10, Alphabet, Pre-Writing, Pre-Readingâ€¦]" c="School Zone - Big Preschool Workbook - Ages 4 and Up, Colors, Shapes, Numbers 1-10, Alphabet, Pre-Writing, Pre-Readingâ€¦"/>
              <i n="[Table2_2].[Name].&amp;[Secret Garden: An Inky Treasure Hunt and Coloring Book (For Adults, mindfulness coloring)]" c="Secret Garden: An Inky Treasure Hunt and Coloring Book (For Adults, mindfulness coloring)"/>
              <i n="[Table2_2].[Name].&amp;[Sh*t My Dad Says]" c="Sh*t My Dad Says"/>
              <i n="[Table2_2].[Name].&amp;[Ship of Fools: How a Selfish Ruling Class Is Bringing America to the Brink of Revolution]" c="Ship of Fools: How a Selfish Ruling Class Is Bringing America to the Brink of Revolution"/>
              <i n="[Table2_2].[Name].&amp;[Shred: The Revolutionary Diet: 6 Weeks 4 Inches 2 Sizes]" c="Shred: The Revolutionary Diet: 6 Weeks 4 Inches 2 Sizes"/>
              <i n="[Table2_2].[Name].&amp;[Sookie Stackhouse]" c="Sookie Stackhouse"/>
              <i n="[Table2_2].[Name].&amp;[Soul Healing Miracles: Ancient and New Sacred Wisdom, Knowledge, and Practical Techniques for Healing the Spiritualâ€¦]" c="Soul Healing Miracles: Ancient and New Sacred Wisdom, Knowledge, and Practical Techniques for Healing the Spiritualâ€¦"/>
              <i n="[Table2_2].[Name].&amp;[Steve Jobs]" c="Steve Jobs"/>
              <i n="[Table2_2].[Name].&amp;[Strange Planet (Strange Planet Series)]" c="Strange Planet (Strange Planet Series)"/>
              <i n="[Table2_2].[Name].&amp;[StrengthsFinder 2.0]" c="StrengthsFinder 2.0"/>
              <i n="[Table2_2].[Name].&amp;[Super Freakonomics: Global Cooling, Patriotic Prostitutes, and Why Suicide Bombers Should Buy Life Insurance]" c="Super Freakonomics: Global Cooling, Patriotic Prostitutes, and Why Suicide Bombers Should Buy Life Insurance"/>
              <i n="[Table2_2].[Name].&amp;[Switch: How to Change Things When Change Is Hard]" c="Switch: How to Change Things When Change Is Hard"/>
              <i n="[Table2_2].[Name].&amp;[Sycamore Row (Jake Brigance)]" c="Sycamore Row (Jake Brigance)"/>
              <i n="[Table2_2].[Name].&amp;[Teach Like a Champion: 49 Techniques that Put Students on the Path to College]" c="Teach Like a Champion: 49 Techniques that Put Students on the Path to College"/>
              <i n="[Table2_2].[Name].&amp;[The 17 Day Diet: A Doctor's Plan Designed for Rapid Results]" c="The 17 Day Diet: A Doctor's Plan Designed for Rapid Results"/>
              <i n="[Table2_2].[Name].&amp;[The 4 Hour Body: An Uncommon Guide to Rapid Fat Loss, Incredible Sex and Becoming Superhuman]" c="The 4 Hour Body: An Uncommon Guide to Rapid Fat Loss, Incredible Sex and Becoming Superhuman"/>
              <i n="[Table2_2].[Name].&amp;[The 5 Love Languages: The Secret to Love That Lasts]" c="The 5 Love Languages: The Secret to Love That Lasts"/>
              <i n="[Table2_2].[Name].&amp;[The 5000 Year Leap]" c="The 5000 Year Leap"/>
              <i n="[Table2_2].[Name].&amp;[The 7 Habits of Highly Effective People: Powerful Lessons in Personal Change]" c="The 7 Habits of Highly Effective People: Powerful Lessons in Personal Change"/>
              <i n="[Table2_2].[Name].&amp;[The Alchemist]" c="The Alchemist"/>
              <i n="[Table2_2].[Name].&amp;[The Amateur]" c="The Amateur"/>
              <i n="[Table2_2].[Name].&amp;[The Art of Racing in the Rain: A Novel]" c="The Art of Racing in the Rain: A Novel"/>
              <i n="[Table2_2].[Name].&amp;[The Big Short: Inside the Doomsday Machine]" c="The Big Short: Inside the Doomsday Machine"/>
              <i n="[Table2_2].[Name].&amp;[The Blood of Olympus (The Heroes of Olympus (5))]" c="The Blood of Olympus (The Heroes of Olympus (5))"/>
              <i n="[Table2_2].[Name].&amp;[The Blood Sugar Solution: The UltraHealthy Program for Losing Weight, Preventing Disease, and Feeling Great Now!]" c="The Blood Sugar Solution: The UltraHealthy Program for Losing Weight, Preventing Disease, and Feeling Great Now!"/>
              <i n="[Table2_2].[Name].&amp;[The Body Keeps the Score: Brain, Mind, and Body in the Healing of Trauma]" c="The Body Keeps the Score: Brain, Mind, and Body in the Healing of Trauma"/>
              <i n="[Table2_2].[Name].&amp;[The Book of Basketball: The NBA According to The Sports Guy]" c="The Book of Basketball: The NBA According to The Sports Guy"/>
              <i n="[Table2_2].[Name].&amp;[The Book Thief]" c="The Book Thief"/>
              <i n="[Table2_2].[Name].&amp;[The Book with No Pictures]" c="The Book with No Pictures"/>
              <i n="[Table2_2].[Name].&amp;[The Boys in the Boat: Nine Americans and Their Epic Quest for Gold at the 1936 Berlin Olympics]" c="The Boys in the Boat: Nine Americans and Their Epic Quest for Gold at the 1936 Berlin Olympics"/>
              <i n="[Table2_2].[Name].&amp;[The Casual Vacancy]" c="The Casual Vacancy"/>
              <i n="[Table2_2].[Name].&amp;[The China Study: The Most Comprehensive Study of Nutrition Ever Conducted And the Startling Implications for Dietâ€¦]" c="The China Study: The Most Comprehensive Study of Nutrition Ever Conducted And the Startling Implications for Dietâ€¦"/>
              <i n="[Table2_2].[Name].&amp;[The Complete Ketogenic Diet for Beginners: Your Essential Guide to Living the Keto Lifestyle]" c="The Complete Ketogenic Diet for Beginners: Your Essential Guide to Living the Keto Lifestyle"/>
              <i n="[Table2_2].[Name].&amp;[The Confession: A Novel]" c="The Confession: A Novel"/>
              <i n="[Table2_2].[Name].&amp;[The Constitution of the United States]" c="The Constitution of the United States"/>
              <i n="[Table2_2].[Name].&amp;[The Daily Show with Jon Stewart Presents Earth (The Book): A Visitor's Guide to the Human Race]" c="The Daily Show with Jon Stewart Presents Earth (The Book): A Visitor's Guide to the Human Race"/>
              <i n="[Table2_2].[Name].&amp;[The Day the Crayons Quit]" c="The Day the Crayons Quit"/>
              <i n="[Table2_2].[Name].&amp;[The Dukan Diet: 2 Steps to Lose the Weight, 2 Steps to Keep It Off Forever]" c="The Dukan Diet: 2 Steps to Lose the Weight, 2 Steps to Keep It Off Forever"/>
              <i n="[Table2_2].[Name].&amp;[The Elegance of the Hedgehog]" c="The Elegance of the Hedgehog"/>
              <i n="[Table2_2].[Name].&amp;[The Fault in Our Stars]" c="The Fault in Our Stars"/>
              <i n="[Table2_2].[Name].&amp;[The Five Dysfunctions of a Team: A Leadership Fable]" c="The Five Dysfunctions of a Team: A Leadership Fable"/>
              <i n="[Table2_2].[Name].&amp;[The Five Love Languages: How to Express Heartfelt Commitment to Your Mate]" c="The Five Love Languages: How to Express Heartfelt Commitment to Your Mate"/>
              <i n="[Table2_2].[Name].&amp;[The Four Agreements: A Practical Guide to Personal Freedom (A Toltec Wisdom Book)]" c="The Four Agreements: A Practical Guide to Personal Freedom (A Toltec Wisdom Book)"/>
              <i n="[Table2_2].[Name].&amp;[The Getaway]" c="The Getaway"/>
              <i n="[Table2_2].[Name].&amp;[The Girl on the Train]" c="The Girl on the Train"/>
              <i n="[Table2_2].[Name].&amp;[The Girl Who Kicked the Hornet's Nest (Millennium Trilogy)]" c="The Girl Who Kicked the Hornet's Nest (Millennium Trilogy)"/>
              <i n="[Table2_2].[Name].&amp;[The Girl Who Played with Fire (Millennium Series)]" c="The Girl Who Played with Fire (Millennium Series)"/>
              <i n="[Table2_2].[Name].&amp;[The Girl Who Played with Fire (Millennium)]" c="The Girl Who Played with Fire (Millennium)"/>
              <i n="[Table2_2].[Name].&amp;[The Girl with the Dragon Tattoo (Millennium Series)]" c="The Girl with the Dragon Tattoo (Millennium Series)"/>
              <i n="[Table2_2].[Name].&amp;[The Going-To-Bed Book]" c="The Going-To-Bed Book"/>
              <i n="[Table2_2].[Name].&amp;[The Goldfinch: A Novel (Pulitzer Prize for Fiction)]" c="The Goldfinch: A Novel (Pulitzer Prize for Fiction)"/>
              <i n="[Table2_2].[Name].&amp;[The Great Gatsby]" c="The Great Gatsby"/>
              <i n="[Table2_2].[Name].&amp;[The Guardians: A Novel]" c="The Guardians: A Novel"/>
              <i n="[Table2_2].[Name].&amp;[The Guernsey Literary and Potato Peel Pie Society]" c="The Guernsey Literary and Potato Peel Pie Society"/>
              <i n="[Table2_2].[Name].&amp;[The Handmaid's Tale]" c="The Handmaid's Tale"/>
              <i n="[Table2_2].[Name].&amp;[The Harbinger: The Ancient Mystery that Holds the Secret of America's Future]" c="The Harbinger: The Ancient Mystery that Holds the Secret of America's Future"/>
              <i n="[Table2_2].[Name].&amp;[The Hate U Give]" c="The Hate U Give"/>
              <i n="[Table2_2].[Name].&amp;[The Help]" c="The Help"/>
              <i n="[Table2_2].[Name].&amp;[The House of Hades (Heroes of Olympus, Book 4)]" c="The House of Hades (Heroes of Olympus, Book 4)"/>
              <i n="[Table2_2].[Name].&amp;[The Hunger Games]" c="The Hunger Games"/>
              <i n="[Table2_2].[Name].&amp;[The Hunger Games (Book 1)]" c="The Hunger Games (Book 1)"/>
              <i n="[Table2_2].[Name].&amp;[The Hunger Games Trilogy Boxed Set (1)]" c="The Hunger Games Trilogy Boxed Set (1)"/>
              <i n="[Table2_2].[Name].&amp;[The Immortal Life of Henrietta Lacks]" c="The Immortal Life of Henrietta Lacks"/>
              <i n="[Table2_2].[Name].&amp;[The Instant Pot Electric Pressure Cooker Cookbook: Easy Recipes for Fast &amp; Healthy Meals]" c="The Instant Pot Electric Pressure Cooker Cookbook: Easy Recipes for Fast &amp; Healthy Meals"/>
              <i n="[Table2_2].[Name].&amp;[The Last Lecture]" c="The Last Lecture"/>
              <i n="[Table2_2].[Name].&amp;[The Last Olympian (Percy Jackson and the Olympians, Book 5)]" c="The Last Olympian (Percy Jackson and the Olympians, Book 5)"/>
              <i n="[Table2_2].[Name].&amp;[The Legend of Zelda: Hyrule Historia]" c="The Legend of Zelda: Hyrule Historia"/>
              <i n="[Table2_2].[Name].&amp;[The Lego Ideas Book: Unlock Your Imagination]" c="The Lego Ideas Book: Unlock Your Imagination"/>
              <i n="[Table2_2].[Name].&amp;[The Life-Changing Magic of Tidying Up: The Japanese Art of Decluttering and Organizing]" c="The Life-Changing Magic of Tidying Up: The Japanese Art of Decluttering and Organizing"/>
              <i n="[Table2_2].[Name].&amp;[The Litigators]" c="The Litigators"/>
              <i n="[Table2_2].[Name].&amp;[The Lost Hero (Heroes of Olympus, Book 1)]" c="The Lost Hero (Heroes of Olympus, Book 1)"/>
              <i n="[Table2_2].[Name].&amp;[The Lost Symbol]" c="The Lost Symbol"/>
              <i n="[Table2_2].[Name].&amp;[The Love Dare]" c="The Love Dare"/>
              <i n="[Table2_2].[Name].&amp;[The Magnolia Story]" c="The Magnolia Story"/>
              <i n="[Table2_2].[Name].&amp;[The Mark of Athena (Heroes of Olympus, Book 3)]" c="The Mark of Athena (Heroes of Olympus, Book 3)"/>
              <i n="[Table2_2].[Name].&amp;[The Martian]" c="The Martian"/>
              <i n="[Table2_2].[Name].&amp;[The Maze Runner (Book 1)]" c="The Maze Runner (Book 1)"/>
              <i n="[Table2_2].[Name].&amp;[The Meltdown (Diary of a Wimpy Kid Book 13)]" c="The Meltdown (Diary of a Wimpy Kid Book 13)"/>
              <i n="[Table2_2].[Name].&amp;[The Mueller Report]" c="The Mueller Report"/>
              <i n="[Table2_2].[Name].&amp;[The Nightingale: A Novel]" c="The Nightingale: A Novel"/>
              <i n="[Table2_2].[Name].&amp;[The Official SAT Study Guide]" c="The Official SAT Study Guide"/>
              <i n="[Table2_2].[Name].&amp;[The Official SAT Study Guide, 2016 Edition (Official Study Guide for the New Sat)]" c="The Official SAT Study Guide, 2016 Edition (Official Study Guide for the New Sat)"/>
              <i n="[Table2_2].[Name].&amp;[The Paris Wife: A Novel]" c="The Paris Wife: A Novel"/>
              <i n="[Table2_2].[Name].&amp;[The Pioneer Woman Cooks: A Year of Holidays: 140 Step-by-Step Recipes for Simple, Scrumptious Celebrations]" c="The Pioneer Woman Cooks: A Year of Holidays: 140 Step-by-Step Recipes for Simple, Scrumptious Celebrations"/>
              <i n="[Table2_2].[Name].&amp;[The Pioneer Woman Cooks: Dinnertime - Comfort Classics, Freezer Food, 16-minute Meals, and Other Delicious Ways to Solveâ€¦]" c="The Pioneer Woman Cooks: Dinnertime - Comfort Classics, Freezer Food, 16-minute Meals, and Other Delicious Ways to Solveâ€¦"/>
              <i n="[Table2_2].[Name].&amp;[The Pioneer Woman Cooks: Food from My Frontier]" c="The Pioneer Woman Cooks: Food from My Frontier"/>
              <i n="[Table2_2].[Name].&amp;[The Plant Paradox Cookbook: 100 Delicious Recipes to Help You Lose Weight, Heal Your Gut, and Live Lectin-Free]" c="The Plant Paradox Cookbook: 100 Delicious Recipes to Help You Lose Weight, Heal Your Gut, and Live Lectin-Free"/>
              <i n="[Table2_2].[Name].&amp;[The Plant Paradox: The Hidden Dangers in &quot;Healthy&quot; Foods That Cause Disease and Weight Gain]" c="The Plant Paradox: The Hidden Dangers in &quot;Healthy&quot; Foods That Cause Disease and Weight Gain"/>
              <i n="[Table2_2].[Name].&amp;[The Pout-Pout Fish]" c="The Pout-Pout Fish"/>
              <i n="[Table2_2].[Name].&amp;[The Power of Habit: Why We Do What We Do in Life and Business]" c="The Power of Habit: Why We Do What We Do in Life and Business"/>
              <i n="[Table2_2].[Name].&amp;[The President Is Missing: A Novel]" c="The President Is Missing: A Novel"/>
              <i n="[Table2_2].[Name].&amp;[The Racketeer]" c="The Racketeer"/>
              <i n="[Table2_2].[Name].&amp;[The Red Pyramid (The Kane Chronicles, Book 1)]" c="The Red Pyramid (The Kane Chronicles, Book 1)"/>
              <i n="[Table2_2].[Name].&amp;[The Road to Serfdom: Text and Documents--The Definitive Edition (The Collected Works of F. A. Hayek, Volume 2)]" c="The Road to Serfdom: Text and Documents--The Definitive Edition (The Collected Works of F. A. Hayek, Volume 2)"/>
              <i n="[Table2_2].[Name].&amp;[The Serpent's Shadow (The Kane Chronicles, Book 3)]" c="The Serpent's Shadow (The Kane Chronicles, Book 3)"/>
              <i n="[Table2_2].[Name].&amp;[The Shack: Where Tragedy Confronts Eternity]" c="The Shack: Where Tragedy Confronts Eternity"/>
              <i n="[Table2_2].[Name].&amp;[The Short Second Life of Bree Tanner: An Eclipse Novella (The Twilight Saga)]" c="The Short Second Life of Bree Tanner: An Eclipse Novella (The Twilight Saga)"/>
              <i n="[Table2_2].[Name].&amp;[The Silent Patient]" c="The Silent Patient"/>
              <i n="[Table2_2].[Name].&amp;[The Son of Neptune (Heroes of Olympus, Book 2)]" c="The Son of Neptune (Heroes of Olympus, Book 2)"/>
              <i n="[Table2_2].[Name].&amp;[The Subtle Art of Not Giving a F*ck: A Counterintuitive Approach to Living a Good Life]" c="The Subtle Art of Not Giving a F*ck: A Counterintuitive Approach to Living a Good Life"/>
              <i n="[Table2_2].[Name].&amp;[The Sun and Her Flowers]" c="The Sun and Her Flowers"/>
              <i n="[Table2_2].[Name].&amp;[The Third Wheel (Diary of a Wimpy Kid, Book 7)]" c="The Third Wheel (Diary of a Wimpy Kid, Book 7)"/>
              <i n="[Table2_2].[Name].&amp;[The Throne of Fire (The Kane Chronicles, Book 2)]" c="The Throne of Fire (The Kane Chronicles, Book 2)"/>
              <i n="[Table2_2].[Name].&amp;[The Time Traveler's Wife]" c="The Time Traveler's Wife"/>
              <i n="[Table2_2].[Name].&amp;[The Tipping Point: How Little Things Can Make a Big Difference]" c="The Tipping Point: How Little Things Can Make a Big Difference"/>
              <i n="[Table2_2].[Name].&amp;[The Total Money Makeover: Classic Edition: A Proven Plan for Financial Fitness]" c="The Total Money Makeover: Classic Edition: A Proven Plan for Financial Fitness"/>
              <i n="[Table2_2].[Name].&amp;[The Twilight Saga Collection]" c="The Twilight Saga Collection"/>
              <i n="[Table2_2].[Name].&amp;[The Ugly Truth (Diary of a Wimpy Kid, Book 5)]" c="The Ugly Truth (Diary of a Wimpy Kid, Book 5)"/>
              <i n="[Table2_2].[Name].&amp;[The Unofficial Harry Potter Cookbook: From Cauldron Cakes to Knickerbocker Glory--More Than 150 Magical Recipes forâ€¦]" c="The Unofficial Harry Potter Cookbook: From Cauldron Cakes to Knickerbocker Glory--More Than 150 Magical Recipes forâ€¦"/>
              <i n="[Table2_2].[Name].&amp;[The Very Hungry Caterpillar]" c="The Very Hungry Caterpillar"/>
              <i n="[Table2_2].[Name].&amp;[The Whole30: The 30-Day Guide to Total Health and Food Freedom]" c="The Whole30: The 30-Day Guide to Total Health and Food Freedom"/>
              <i n="[Table2_2].[Name].&amp;[The Wonderful Things You Will Be]" c="The Wonderful Things You Will Be"/>
              <i n="[Table2_2].[Name].&amp;[The Wonky Donkey]" c="The Wonky Donkey"/>
              <i n="[Table2_2].[Name].&amp;[The Wright Brothers]" c="The Wright Brothers"/>
              <i n="[Table2_2].[Name].&amp;[Things That Matter: Three Decades of Passions, Pastimes and Politics [Deckled Edge]]]" c="Things That Matter: Three Decades of Passions, Pastimes and Politics [Deckled Edge]"/>
              <i n="[Table2_2].[Name].&amp;[Thinking, Fast and Slow]" c="Thinking, Fast and Slow"/>
              <i n="[Table2_2].[Name].&amp;[Thirteen Reasons Why]" c="Thirteen Reasons Why"/>
              <i n="[Table2_2].[Name].&amp;[Thomas Jefferson: The Art of Power]" c="Thomas Jefferson: The Art of Power"/>
              <i n="[Table2_2].[Name].&amp;[Three Cups of Tea: One Man's Mission to Promote Peace - One School at a Time]" c="Three Cups of Tea: One Man's Mission to Promote Peace - One School at a Time"/>
              <i n="[Table2_2].[Name].&amp;[Thug Kitchen: The Official Cookbook: Eat Like You Give a F*ck (Thug Kitchen Cookbooks)]" c="Thug Kitchen: The Official Cookbook: Eat Like You Give a F*ck (Thug Kitchen Cookbooks)"/>
              <i n="[Table2_2].[Name].&amp;[Tina Fey: Bossypants]" c="Tina Fey: Bossypants"/>
              <i n="[Table2_2].[Name].&amp;[To Kill a Mockingbird]" c="To Kill a Mockingbird"/>
              <i n="[Table2_2].[Name].&amp;[Tools of Titans: The Tactics, Routines, and Habits of Billionaires, Icons, and World-Class Performers]" c="Tools of Titans: The Tactics, Routines, and Habits of Billionaires, Icons, and World-Class Performers"/>
              <i n="[Table2_2].[Name].&amp;[Towers of Midnight (Wheel of Time, Book Thirteen)]" c="Towers of Midnight (Wheel of Time, Book Thirteen)"/>
              <i n="[Table2_2].[Name].&amp;[True Compass: A Memoir]" c="True Compass: A Memoir"/>
              <i n="[Table2_2].[Name].&amp;[Twilight (The Twilight Saga, Book 1)]" c="Twilight (The Twilight Saga, Book 1)"/>
              <i n="[Table2_2].[Name].&amp;[Ultimate Sticker Book: Frozen: More Than 60 Reusable Full-Color Stickers]" c="Ultimate Sticker Book: Frozen: More Than 60 Reusable Full-Color Stickers"/>
              <i n="[Table2_2].[Name].&amp;[Unbroken: A World War II Story of Survival, Resilience, and Redemption]" c="Unbroken: A World War II Story of Survival, Resilience, and Redemption"/>
              <i n="[Table2_2].[Name].&amp;[Under the Dome: A Novel]" c="Under the Dome: A Novel"/>
              <i n="[Table2_2].[Name].&amp;[Unfreedom of the Press]" c="Unfreedom of the Press"/>
              <i n="[Table2_2].[Name].&amp;[Unicorn Coloring Book: For Kids Ages 4-8 (US Edition) (Silly Bear Coloring Books)]" c="Unicorn Coloring Book: For Kids Ages 4-8 (US Edition) (Silly Bear Coloring Books)"/>
              <i n="[Table2_2].[Name].&amp;[Uninvited: Living Loved When You Feel Less Than, Left Out, and Lonely]" c="Uninvited: Living Loved When You Feel Less Than, Left Out, and Lonely"/>
              <i n="[Table2_2].[Name].&amp;[Watchmen]" c="Watchmen"/>
              <i n="[Table2_2].[Name].&amp;[Water for Elephants: A Novel]" c="Water for Elephants: A Novel"/>
              <i n="[Table2_2].[Name].&amp;[What Happened]" c="What Happened"/>
              <i n="[Table2_2].[Name].&amp;[What If?: Serious Scientific Answers to Absurd Hypothetical Questions]" c="What If?: Serious Scientific Answers to Absurd Hypothetical Questions"/>
              <i n="[Table2_2].[Name].&amp;[What Pet Should I Get? (Classic Seuss)]" c="What Pet Should I Get? (Classic Seuss)"/>
              <i n="[Table2_2].[Name].&amp;[What Should Danny Do? (The Power to Choose Series)]" c="What Should Danny Do? (The Power to Choose Series)"/>
              <i n="[Table2_2].[Name].&amp;[What to Expect When You're Expecting]" c="What to Expect When You're Expecting"/>
              <i n="[Table2_2].[Name].&amp;[Wheat Belly: Lose the Wheat, Lose the Weight, and Find Your Path Back to Health]" c="Wheat Belly: Lose the Wheat, Lose the Weight, and Find Your Path Back to Health"/>
              <i n="[Table2_2].[Name].&amp;[When Breath Becomes Air]" c="When Breath Becomes Air"/>
              <i n="[Table2_2].[Name].&amp;[Where the Crawdads Sing]" c="Where the Crawdads Sing"/>
              <i n="[Table2_2].[Name].&amp;[Where the Wild Things Are]" c="Where the Wild Things Are"/>
              <i n="[Table2_2].[Name].&amp;[Whose Boat Is This Boat?: Comments That Don't Help in the Aftermath of a Hurricane]" c="Whose Boat Is This Boat?: Comments That Don't Help in the Aftermath of a Hurricane"/>
              <i n="[Table2_2].[Name].&amp;[Wild: From Lost to Found on the Pacific Crest Trail]" c="Wild: From Lost to Found on the Pacific Crest Trail"/>
              <i n="[Table2_2].[Name].&amp;[Winter of the World: Book Two of the Century Trilogy]" c="Winter of the World: Book Two of the Century Trilogy"/>
              <i n="[Table2_2].[Name].&amp;[Women Food and God: An Unexpected Path to Almost Everything]" c="Women Food and God: An Unexpected Path to Almost Everything"/>
              <i n="[Table2_2].[Name].&amp;[Wonder]" c="Wonder"/>
              <i n="[Table2_2].[Name].&amp;[Wrecking Ball (Diary of a Wimpy Kid Book 14)]" c="Wrecking Ball (Diary of a Wimpy Kid Book 14)"/>
              <i n="[Table2_2].[Name].&amp;[You Are a Badass: How to Stop Doubting Your Greatness and Start Living an Awesome Life]" c="You Are a Badass: How to Stop Doubting Your Greatness and Start Living an Awesome Life"/>
            </range>
          </ranges>
        </level>
      </levels>
      <selections count="1">
        <selection n="[Table2_2].[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views 2" xr10:uid="{7052CC66-C4B1-49AA-AD52-32A3B343A0C0}" cache="Slicer_Reviews" caption="Reviews" startItem="50" level="1" rowHeight="241300"/>
  <slicer name="Genre 1" xr10:uid="{B438EDE8-62AF-40FB-A00C-314636947808}" cache="Slicer_Genre" caption="Genre" level="1" rowHeight="241300"/>
  <slicer name="Year 1" xr10:uid="{F1A8698E-CF25-4EF6-92F6-BC51482B431F}" cache="Slicer_Year" caption="Year" rowHeight="241300"/>
  <slicer name="Name 1" xr10:uid="{91BFCCFC-7F4C-42E3-ABE9-71EAF3055D0E}" cache="Slicer_Name" caption="Name" startItem="347"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2_2" displayName="Table2_2" ref="A1:K551" tableType="queryTable" totalsRowShown="0">
  <autoFilter ref="A1:K551" xr:uid="{00000000-0009-0000-0100-000003000000}"/>
  <tableColumns count="11">
    <tableColumn id="1" xr3:uid="{00000000-0010-0000-0000-000001000000}" uniqueName="1" name="Name" queryTableFieldId="1" dataDxfId="6"/>
    <tableColumn id="2" xr3:uid="{00000000-0010-0000-0000-000002000000}" uniqueName="2" name="Author" queryTableFieldId="2" dataDxfId="5"/>
    <tableColumn id="3" xr3:uid="{00000000-0010-0000-0000-000003000000}" uniqueName="3" name="User_Rating" queryTableFieldId="3"/>
    <tableColumn id="8" xr3:uid="{00000000-0010-0000-0000-000008000000}" uniqueName="8" name="User_Rating_outlier" queryTableFieldId="8" dataDxfId="4">
      <calculatedColumnFormula>IF(Table2_2[[#This Row],[User_Rating]]&lt;4.164816,"Outlier","Normal")</calculatedColumnFormula>
    </tableColumn>
    <tableColumn id="4" xr3:uid="{00000000-0010-0000-0000-000004000000}" uniqueName="4" name="Reviews" queryTableFieldId="4"/>
    <tableColumn id="9" xr3:uid="{00000000-0010-0000-0000-000009000000}" uniqueName="9" name="Review_Outlier" queryTableFieldId="9" dataDxfId="3">
      <calculatedColumnFormula>IF(Table2_2[[#This Row],[Reviews]]&gt;$N$13,"Outlier"," Normal")</calculatedColumnFormula>
    </tableColumn>
    <tableColumn id="5" xr3:uid="{00000000-0010-0000-0000-000005000000}" uniqueName="5" name="Price" queryTableFieldId="5"/>
    <tableColumn id="10" xr3:uid="{00000000-0010-0000-0000-00000A000000}" uniqueName="10" name="Pricing_outlier" queryTableFieldId="10" dataDxfId="2">
      <calculatedColumnFormula>IF(Table2_2[[#This Row],[Price]]&gt;$N$20,"Outlier","Normal")</calculatedColumnFormula>
    </tableColumn>
    <tableColumn id="6" xr3:uid="{00000000-0010-0000-0000-000006000000}" uniqueName="6" name="Year" queryTableFieldId="6"/>
    <tableColumn id="11" xr3:uid="{3A8AD010-305C-4D4D-B4D6-50B785E90DC5}" uniqueName="11" name="Book Age" queryTableFieldId="11" dataDxfId="1">
      <calculatedColumnFormula>IF(Table2_2[[#This Row],[Year]]&gt;=2015,"Newer","Older")</calculatedColumnFormula>
    </tableColumn>
    <tableColumn id="7" xr3:uid="{00000000-0010-0000-0000-000007000000}" uniqueName="7" name="Genre" queryTableFieldId="7"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4C64B3-D936-449B-9B47-F75E43356A66}" name="Table2" displayName="Table2" ref="A1:C546" totalsRowShown="0">
  <autoFilter ref="A1:C546" xr:uid="{CA4C64B3-D936-449B-9B47-F75E43356A66}"/>
  <tableColumns count="3">
    <tableColumn id="1" xr3:uid="{7BBDBB59-B08C-4900-A038-7335D05A4F24}" name="Price"/>
    <tableColumn id="2" xr3:uid="{32771DA3-5EC9-4D55-9696-72B1B8EC9364}" name="User_Rating"/>
    <tableColumn id="3" xr3:uid="{EBB9FF86-A69C-4F0C-8A09-50F6B606CC97}" name="Reviews"/>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ivotTable" Target="../pivotTables/pivotTable1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6" Type="http://schemas.openxmlformats.org/officeDocument/2006/relationships/drawing" Target="../drawings/drawing1.xml"/><Relationship Id="rId5" Type="http://schemas.openxmlformats.org/officeDocument/2006/relationships/printerSettings" Target="../printerSettings/printerSettings4.bin"/><Relationship Id="rId4" Type="http://schemas.openxmlformats.org/officeDocument/2006/relationships/pivotTable" Target="../pivotTables/pivotTable22.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R551"/>
  <sheetViews>
    <sheetView tabSelected="1" topLeftCell="I1" workbookViewId="0">
      <selection activeCell="N15" sqref="N15"/>
    </sheetView>
  </sheetViews>
  <sheetFormatPr defaultRowHeight="14.5" x14ac:dyDescent="0.35"/>
  <cols>
    <col min="1" max="1" width="114.54296875" customWidth="1"/>
    <col min="2" max="2" width="33" bestFit="1" customWidth="1"/>
    <col min="3" max="3" width="14" bestFit="1" customWidth="1"/>
    <col min="4" max="4" width="21.1796875" customWidth="1"/>
    <col min="5" max="5" width="10.7265625" bestFit="1" customWidth="1"/>
    <col min="6" max="6" width="17.7265625" customWidth="1"/>
    <col min="7" max="7" width="7.7265625" bestFit="1" customWidth="1"/>
    <col min="8" max="8" width="20.1796875" customWidth="1"/>
    <col min="9" max="9" width="10.453125" customWidth="1"/>
    <col min="10" max="10" width="17.26953125" customWidth="1"/>
    <col min="12" max="12" width="21.1796875" customWidth="1"/>
    <col min="13" max="13" width="22.90625" customWidth="1"/>
  </cols>
  <sheetData>
    <row r="1" spans="1:18" x14ac:dyDescent="0.35">
      <c r="A1" t="s">
        <v>0</v>
      </c>
      <c r="B1" t="s">
        <v>1</v>
      </c>
      <c r="C1" t="s">
        <v>607</v>
      </c>
      <c r="D1" t="s">
        <v>617</v>
      </c>
      <c r="E1" t="s">
        <v>2</v>
      </c>
      <c r="F1" t="s">
        <v>616</v>
      </c>
      <c r="G1" t="s">
        <v>3</v>
      </c>
      <c r="H1" t="s">
        <v>615</v>
      </c>
      <c r="I1" t="s">
        <v>4</v>
      </c>
      <c r="J1" t="s">
        <v>635</v>
      </c>
      <c r="K1" t="s">
        <v>5</v>
      </c>
    </row>
    <row r="2" spans="1:18" x14ac:dyDescent="0.35">
      <c r="A2" s="1" t="s">
        <v>6</v>
      </c>
      <c r="B2" s="1" t="s">
        <v>7</v>
      </c>
      <c r="C2">
        <v>4.7</v>
      </c>
      <c r="D2" t="str">
        <f>IF(Table2_2[[#This Row],[User_Rating]]&lt;4.164816,"Outlier","Normal")</f>
        <v>Normal</v>
      </c>
      <c r="E2">
        <v>17350</v>
      </c>
      <c r="F2" t="str">
        <f>IF(Table2_2[[#This Row],[Reviews]]&gt;$N$13,"Outlier"," Normal")</f>
        <v xml:space="preserve"> Normal</v>
      </c>
      <c r="G2">
        <v>8</v>
      </c>
      <c r="H2" t="str">
        <f>IF(Table2_2[[#This Row],[Price]]&gt;$N$20,"Outlier","Normal")</f>
        <v>Normal</v>
      </c>
      <c r="I2">
        <v>2016</v>
      </c>
      <c r="J2" t="str">
        <f>IF(Table2_2[[#This Row],[Year]]&gt;=2015,"Newer","Older")</f>
        <v>Newer</v>
      </c>
      <c r="K2" s="1" t="s">
        <v>8</v>
      </c>
    </row>
    <row r="3" spans="1:18" x14ac:dyDescent="0.35">
      <c r="A3" s="1" t="s">
        <v>9</v>
      </c>
      <c r="B3" s="1" t="s">
        <v>10</v>
      </c>
      <c r="C3">
        <v>4.5999999999999996</v>
      </c>
      <c r="D3" t="str">
        <f>IF(Table2_2[[#This Row],[User_Rating]]&lt;4.164816,"Outlier","Normal")</f>
        <v>Normal</v>
      </c>
      <c r="E3">
        <v>2052</v>
      </c>
      <c r="F3" t="str">
        <f>IF(Table2_2[[#This Row],[Reviews]]&gt;$N$13,"Outlier"," Normal")</f>
        <v xml:space="preserve"> Normal</v>
      </c>
      <c r="G3">
        <v>22</v>
      </c>
      <c r="H3" t="str">
        <f>IF(Table2_2[[#This Row],[Price]]&gt;$N$20,"Outlier","Normal")</f>
        <v>Normal</v>
      </c>
      <c r="I3">
        <v>2011</v>
      </c>
      <c r="J3" t="str">
        <f>IF(Table2_2[[#This Row],[Year]]&gt;=2015,"Newer","Older")</f>
        <v>Older</v>
      </c>
      <c r="K3" s="1" t="s">
        <v>11</v>
      </c>
      <c r="M3" s="2" t="s">
        <v>607</v>
      </c>
      <c r="R3" t="s">
        <v>650</v>
      </c>
    </row>
    <row r="4" spans="1:18" x14ac:dyDescent="0.35">
      <c r="A4" s="1" t="s">
        <v>12</v>
      </c>
      <c r="B4" s="1" t="s">
        <v>13</v>
      </c>
      <c r="C4">
        <v>4.7</v>
      </c>
      <c r="D4" t="str">
        <f>IF(Table2_2[[#This Row],[User_Rating]]&lt;4.164816,"Outlier","Normal")</f>
        <v>Normal</v>
      </c>
      <c r="E4">
        <v>18979</v>
      </c>
      <c r="F4" t="str">
        <f>IF(Table2_2[[#This Row],[Reviews]]&gt;$N$13,"Outlier"," Normal")</f>
        <v xml:space="preserve"> Normal</v>
      </c>
      <c r="G4">
        <v>15</v>
      </c>
      <c r="H4" t="str">
        <f>IF(Table2_2[[#This Row],[Price]]&gt;$N$20,"Outlier","Normal")</f>
        <v>Normal</v>
      </c>
      <c r="I4">
        <v>2018</v>
      </c>
      <c r="J4" t="str">
        <f>IF(Table2_2[[#This Row],[Year]]&gt;=2015,"Newer","Older")</f>
        <v>Newer</v>
      </c>
      <c r="K4" s="1" t="s">
        <v>8</v>
      </c>
      <c r="M4" t="s">
        <v>608</v>
      </c>
      <c r="N4">
        <f>AVERAGE(Table2_2[User_Rating])</f>
        <v>4.6183636363636413</v>
      </c>
    </row>
    <row r="5" spans="1:18" x14ac:dyDescent="0.35">
      <c r="A5" s="1" t="s">
        <v>14</v>
      </c>
      <c r="B5" s="1" t="s">
        <v>15</v>
      </c>
      <c r="C5">
        <v>4.7</v>
      </c>
      <c r="D5" t="str">
        <f>IF(Table2_2[[#This Row],[User_Rating]]&lt;4.164816,"Outlier","Normal")</f>
        <v>Normal</v>
      </c>
      <c r="E5">
        <v>21424</v>
      </c>
      <c r="F5" t="str">
        <f>IF(Table2_2[[#This Row],[Reviews]]&gt;$N$13,"Outlier"," Normal")</f>
        <v xml:space="preserve"> Normal</v>
      </c>
      <c r="G5">
        <v>6</v>
      </c>
      <c r="H5" t="str">
        <f>IF(Table2_2[[#This Row],[Price]]&gt;$N$20,"Outlier","Normal")</f>
        <v>Normal</v>
      </c>
      <c r="I5">
        <v>2017</v>
      </c>
      <c r="J5" t="str">
        <f>IF(Table2_2[[#This Row],[Year]]&gt;=2015,"Newer","Older")</f>
        <v>Newer</v>
      </c>
      <c r="K5" s="1" t="s">
        <v>11</v>
      </c>
      <c r="M5" t="s">
        <v>609</v>
      </c>
      <c r="N5">
        <f>_xlfn.STDEV.P(Table2_2[User_Rating])</f>
        <v>0.22677392535990609</v>
      </c>
    </row>
    <row r="6" spans="1:18" x14ac:dyDescent="0.35">
      <c r="A6" s="1" t="s">
        <v>16</v>
      </c>
      <c r="B6" s="1" t="s">
        <v>17</v>
      </c>
      <c r="C6">
        <v>4.8</v>
      </c>
      <c r="D6" t="str">
        <f>IF(Table2_2[[#This Row],[User_Rating]]&lt;4.164816,"Outlier","Normal")</f>
        <v>Normal</v>
      </c>
      <c r="E6">
        <v>7665</v>
      </c>
      <c r="F6" t="str">
        <f>IF(Table2_2[[#This Row],[Reviews]]&gt;$N$13,"Outlier"," Normal")</f>
        <v xml:space="preserve"> Normal</v>
      </c>
      <c r="G6">
        <v>12</v>
      </c>
      <c r="H6" t="str">
        <f>IF(Table2_2[[#This Row],[Price]]&gt;$N$20,"Outlier","Normal")</f>
        <v>Normal</v>
      </c>
      <c r="I6">
        <v>2019</v>
      </c>
      <c r="J6" t="str">
        <f>IF(Table2_2[[#This Row],[Year]]&gt;=2015,"Newer","Older")</f>
        <v>Newer</v>
      </c>
      <c r="K6" s="1" t="s">
        <v>8</v>
      </c>
      <c r="M6" t="s">
        <v>610</v>
      </c>
      <c r="N6">
        <f>N4+(2*N5)</f>
        <v>5.0719114870834536</v>
      </c>
    </row>
    <row r="7" spans="1:18" x14ac:dyDescent="0.35">
      <c r="A7" s="1" t="s">
        <v>18</v>
      </c>
      <c r="B7" s="1" t="s">
        <v>19</v>
      </c>
      <c r="C7">
        <v>4.4000000000000004</v>
      </c>
      <c r="D7" t="str">
        <f>IF(Table2_2[[#This Row],[User_Rating]]&lt;4.164816,"Outlier","Normal")</f>
        <v>Normal</v>
      </c>
      <c r="E7">
        <v>12643</v>
      </c>
      <c r="F7" t="str">
        <f>IF(Table2_2[[#This Row],[Reviews]]&gt;$N$13,"Outlier"," Normal")</f>
        <v xml:space="preserve"> Normal</v>
      </c>
      <c r="G7">
        <v>11</v>
      </c>
      <c r="H7" t="str">
        <f>IF(Table2_2[[#This Row],[Price]]&gt;$N$20,"Outlier","Normal")</f>
        <v>Normal</v>
      </c>
      <c r="I7">
        <v>2011</v>
      </c>
      <c r="J7" t="str">
        <f>IF(Table2_2[[#This Row],[Year]]&gt;=2015,"Newer","Older")</f>
        <v>Older</v>
      </c>
      <c r="K7" s="1" t="s">
        <v>11</v>
      </c>
      <c r="M7" t="s">
        <v>611</v>
      </c>
      <c r="N7">
        <f>N4-(2*N5)</f>
        <v>4.164815785643829</v>
      </c>
    </row>
    <row r="8" spans="1:18" x14ac:dyDescent="0.35">
      <c r="A8" s="1" t="s">
        <v>20</v>
      </c>
      <c r="B8" s="1" t="s">
        <v>19</v>
      </c>
      <c r="C8">
        <v>4.7</v>
      </c>
      <c r="D8" t="str">
        <f>IF(Table2_2[[#This Row],[User_Rating]]&lt;4.164816,"Outlier","Normal")</f>
        <v>Normal</v>
      </c>
      <c r="E8">
        <v>19735</v>
      </c>
      <c r="F8" t="str">
        <f>IF(Table2_2[[#This Row],[Reviews]]&gt;$N$13,"Outlier"," Normal")</f>
        <v xml:space="preserve"> Normal</v>
      </c>
      <c r="G8">
        <v>30</v>
      </c>
      <c r="H8" t="str">
        <f>IF(Table2_2[[#This Row],[Price]]&gt;$N$20,"Outlier","Normal")</f>
        <v>Normal</v>
      </c>
      <c r="I8">
        <v>2014</v>
      </c>
      <c r="J8" t="str">
        <f>IF(Table2_2[[#This Row],[Year]]&gt;=2015,"Newer","Older")</f>
        <v>Older</v>
      </c>
      <c r="K8" s="1" t="s">
        <v>11</v>
      </c>
    </row>
    <row r="9" spans="1:18" x14ac:dyDescent="0.35">
      <c r="A9" s="1" t="s">
        <v>21</v>
      </c>
      <c r="B9" s="1" t="s">
        <v>22</v>
      </c>
      <c r="C9">
        <v>4.7</v>
      </c>
      <c r="D9" t="str">
        <f>IF(Table2_2[[#This Row],[User_Rating]]&lt;4.164816,"Outlier","Normal")</f>
        <v>Normal</v>
      </c>
      <c r="E9">
        <v>19699</v>
      </c>
      <c r="F9" t="str">
        <f>IF(Table2_2[[#This Row],[Reviews]]&gt;$N$13,"Outlier"," Normal")</f>
        <v xml:space="preserve"> Normal</v>
      </c>
      <c r="G9">
        <v>15</v>
      </c>
      <c r="H9" t="str">
        <f>IF(Table2_2[[#This Row],[Price]]&gt;$N$20,"Outlier","Normal")</f>
        <v>Normal</v>
      </c>
      <c r="I9">
        <v>2017</v>
      </c>
      <c r="J9" t="str">
        <f>IF(Table2_2[[#This Row],[Year]]&gt;=2015,"Newer","Older")</f>
        <v>Newer</v>
      </c>
      <c r="K9" s="1" t="s">
        <v>11</v>
      </c>
    </row>
    <row r="10" spans="1:18" x14ac:dyDescent="0.35">
      <c r="A10" s="1" t="s">
        <v>23</v>
      </c>
      <c r="B10" s="1" t="s">
        <v>24</v>
      </c>
      <c r="C10">
        <v>4.7</v>
      </c>
      <c r="D10" t="str">
        <f>IF(Table2_2[[#This Row],[User_Rating]]&lt;4.164816,"Outlier","Normal")</f>
        <v>Normal</v>
      </c>
      <c r="E10">
        <v>5983</v>
      </c>
      <c r="F10" t="str">
        <f>IF(Table2_2[[#This Row],[Reviews]]&gt;$N$13,"Outlier"," Normal")</f>
        <v xml:space="preserve"> Normal</v>
      </c>
      <c r="G10">
        <v>3</v>
      </c>
      <c r="H10" t="str">
        <f>IF(Table2_2[[#This Row],[Price]]&gt;$N$20,"Outlier","Normal")</f>
        <v>Normal</v>
      </c>
      <c r="I10">
        <v>2018</v>
      </c>
      <c r="J10" t="str">
        <f>IF(Table2_2[[#This Row],[Year]]&gt;=2015,"Newer","Older")</f>
        <v>Newer</v>
      </c>
      <c r="K10" s="1" t="s">
        <v>8</v>
      </c>
      <c r="M10" s="2" t="s">
        <v>2</v>
      </c>
    </row>
    <row r="11" spans="1:18" x14ac:dyDescent="0.35">
      <c r="A11" s="1" t="s">
        <v>25</v>
      </c>
      <c r="B11" s="1" t="s">
        <v>26</v>
      </c>
      <c r="C11">
        <v>4.5999999999999996</v>
      </c>
      <c r="D11" t="str">
        <f>IF(Table2_2[[#This Row],[User_Rating]]&lt;4.164816,"Outlier","Normal")</f>
        <v>Normal</v>
      </c>
      <c r="E11">
        <v>23848</v>
      </c>
      <c r="F11" t="str">
        <f>IF(Table2_2[[#This Row],[Reviews]]&gt;$N$13,"Outlier"," Normal")</f>
        <v xml:space="preserve"> Normal</v>
      </c>
      <c r="G11">
        <v>8</v>
      </c>
      <c r="H11" t="str">
        <f>IF(Table2_2[[#This Row],[Price]]&gt;$N$20,"Outlier","Normal")</f>
        <v>Normal</v>
      </c>
      <c r="I11">
        <v>2016</v>
      </c>
      <c r="J11" t="str">
        <f>IF(Table2_2[[#This Row],[Year]]&gt;=2015,"Newer","Older")</f>
        <v>Newer</v>
      </c>
      <c r="K11" s="1" t="s">
        <v>11</v>
      </c>
      <c r="M11" t="s">
        <v>612</v>
      </c>
      <c r="N11">
        <f>AVERAGE(Table2_2[Reviews])</f>
        <v>11953.281818181818</v>
      </c>
    </row>
    <row r="12" spans="1:18" x14ac:dyDescent="0.35">
      <c r="A12" s="1" t="s">
        <v>25</v>
      </c>
      <c r="B12" s="1" t="s">
        <v>26</v>
      </c>
      <c r="C12">
        <v>4.5999999999999996</v>
      </c>
      <c r="D12" t="str">
        <f>IF(Table2_2[[#This Row],[User_Rating]]&lt;4.164816,"Outlier","Normal")</f>
        <v>Normal</v>
      </c>
      <c r="E12">
        <v>23848</v>
      </c>
      <c r="F12" t="str">
        <f>IF(Table2_2[[#This Row],[Reviews]]&gt;$N$13,"Outlier"," Normal")</f>
        <v xml:space="preserve"> Normal</v>
      </c>
      <c r="G12">
        <v>8</v>
      </c>
      <c r="H12" t="str">
        <f>IF(Table2_2[[#This Row],[Price]]&gt;$N$20,"Outlier","Normal")</f>
        <v>Normal</v>
      </c>
      <c r="I12">
        <v>2017</v>
      </c>
      <c r="J12" t="str">
        <f>IF(Table2_2[[#This Row],[Year]]&gt;=2015,"Newer","Older")</f>
        <v>Newer</v>
      </c>
      <c r="K12" s="1" t="s">
        <v>11</v>
      </c>
      <c r="M12" t="s">
        <v>613</v>
      </c>
      <c r="N12">
        <f>_xlfn.STDEV.P(Table2_2[Reviews])</f>
        <v>11720.462499974383</v>
      </c>
    </row>
    <row r="13" spans="1:18" x14ac:dyDescent="0.35">
      <c r="A13" s="1" t="s">
        <v>27</v>
      </c>
      <c r="B13" s="1" t="s">
        <v>28</v>
      </c>
      <c r="C13">
        <v>4.5999999999999996</v>
      </c>
      <c r="D13" t="str">
        <f>IF(Table2_2[[#This Row],[User_Rating]]&lt;4.164816,"Outlier","Normal")</f>
        <v>Normal</v>
      </c>
      <c r="E13">
        <v>460</v>
      </c>
      <c r="F13" t="str">
        <f>IF(Table2_2[[#This Row],[Reviews]]&gt;$N$13,"Outlier"," Normal")</f>
        <v xml:space="preserve"> Normal</v>
      </c>
      <c r="G13">
        <v>2</v>
      </c>
      <c r="H13" t="str">
        <f>IF(Table2_2[[#This Row],[Price]]&gt;$N$20,"Outlier","Normal")</f>
        <v>Normal</v>
      </c>
      <c r="I13">
        <v>2010</v>
      </c>
      <c r="J13" t="str">
        <f>IF(Table2_2[[#This Row],[Year]]&gt;=2015,"Newer","Older")</f>
        <v>Older</v>
      </c>
      <c r="K13" s="1" t="s">
        <v>8</v>
      </c>
      <c r="M13" t="s">
        <v>614</v>
      </c>
      <c r="N13">
        <f>N11+(2*N12)</f>
        <v>35394.20681813058</v>
      </c>
    </row>
    <row r="14" spans="1:18" x14ac:dyDescent="0.35">
      <c r="A14" s="1" t="s">
        <v>29</v>
      </c>
      <c r="B14" s="1" t="s">
        <v>30</v>
      </c>
      <c r="C14">
        <v>4.5999999999999996</v>
      </c>
      <c r="D14" t="str">
        <f>IF(Table2_2[[#This Row],[User_Rating]]&lt;4.164816,"Outlier","Normal")</f>
        <v>Normal</v>
      </c>
      <c r="E14">
        <v>4149</v>
      </c>
      <c r="F14" t="str">
        <f>IF(Table2_2[[#This Row],[Reviews]]&gt;$N$13,"Outlier"," Normal")</f>
        <v xml:space="preserve"> Normal</v>
      </c>
      <c r="G14">
        <v>32</v>
      </c>
      <c r="H14" t="str">
        <f>IF(Table2_2[[#This Row],[Price]]&gt;$N$20,"Outlier","Normal")</f>
        <v>Normal</v>
      </c>
      <c r="I14">
        <v>2011</v>
      </c>
      <c r="J14" t="str">
        <f>IF(Table2_2[[#This Row],[Year]]&gt;=2015,"Newer","Older")</f>
        <v>Older</v>
      </c>
      <c r="K14" s="1" t="s">
        <v>8</v>
      </c>
      <c r="M14" t="s">
        <v>611</v>
      </c>
      <c r="N14">
        <f>N11-(2*N12)</f>
        <v>-11487.643181766947</v>
      </c>
    </row>
    <row r="15" spans="1:18" x14ac:dyDescent="0.35">
      <c r="A15" s="1" t="s">
        <v>31</v>
      </c>
      <c r="B15" s="1" t="s">
        <v>32</v>
      </c>
      <c r="C15">
        <v>4.5</v>
      </c>
      <c r="D15" t="str">
        <f>IF(Table2_2[[#This Row],[User_Rating]]&lt;4.164816,"Outlier","Normal")</f>
        <v>Normal</v>
      </c>
      <c r="E15">
        <v>5153</v>
      </c>
      <c r="F15" t="str">
        <f>IF(Table2_2[[#This Row],[Reviews]]&gt;$N$13,"Outlier"," Normal")</f>
        <v xml:space="preserve"> Normal</v>
      </c>
      <c r="G15">
        <v>5</v>
      </c>
      <c r="H15" t="str">
        <f>IF(Table2_2[[#This Row],[Price]]&gt;$N$20,"Outlier","Normal")</f>
        <v>Normal</v>
      </c>
      <c r="I15">
        <v>2018</v>
      </c>
      <c r="J15" t="str">
        <f>IF(Table2_2[[#This Row],[Year]]&gt;=2015,"Newer","Older")</f>
        <v>Newer</v>
      </c>
      <c r="K15" s="1" t="s">
        <v>11</v>
      </c>
    </row>
    <row r="16" spans="1:18" x14ac:dyDescent="0.35">
      <c r="A16" s="1" t="s">
        <v>33</v>
      </c>
      <c r="B16" s="1" t="s">
        <v>34</v>
      </c>
      <c r="C16">
        <v>4.5999999999999996</v>
      </c>
      <c r="D16" t="str">
        <f>IF(Table2_2[[#This Row],[User_Rating]]&lt;4.164816,"Outlier","Normal")</f>
        <v>Normal</v>
      </c>
      <c r="E16">
        <v>5013</v>
      </c>
      <c r="F16" t="str">
        <f>IF(Table2_2[[#This Row],[Reviews]]&gt;$N$13,"Outlier"," Normal")</f>
        <v xml:space="preserve"> Normal</v>
      </c>
      <c r="G16">
        <v>17</v>
      </c>
      <c r="H16" t="str">
        <f>IF(Table2_2[[#This Row],[Price]]&gt;$N$20,"Outlier","Normal")</f>
        <v>Normal</v>
      </c>
      <c r="I16">
        <v>2009</v>
      </c>
      <c r="J16" t="str">
        <f>IF(Table2_2[[#This Row],[Year]]&gt;=2015,"Newer","Older")</f>
        <v>Older</v>
      </c>
      <c r="K16" s="1" t="s">
        <v>8</v>
      </c>
    </row>
    <row r="17" spans="1:14" x14ac:dyDescent="0.35">
      <c r="A17" s="1" t="s">
        <v>35</v>
      </c>
      <c r="B17" s="1" t="s">
        <v>36</v>
      </c>
      <c r="C17">
        <v>4.5</v>
      </c>
      <c r="D17" t="str">
        <f>IF(Table2_2[[#This Row],[User_Rating]]&lt;4.164816,"Outlier","Normal")</f>
        <v>Normal</v>
      </c>
      <c r="E17">
        <v>2313</v>
      </c>
      <c r="F17" t="str">
        <f>IF(Table2_2[[#This Row],[Reviews]]&gt;$N$13,"Outlier"," Normal")</f>
        <v xml:space="preserve"> Normal</v>
      </c>
      <c r="G17">
        <v>4</v>
      </c>
      <c r="H17" t="str">
        <f>IF(Table2_2[[#This Row],[Price]]&gt;$N$20,"Outlier","Normal")</f>
        <v>Normal</v>
      </c>
      <c r="I17">
        <v>2016</v>
      </c>
      <c r="J17" t="str">
        <f>IF(Table2_2[[#This Row],[Year]]&gt;=2015,"Newer","Older")</f>
        <v>Newer</v>
      </c>
      <c r="K17" s="1" t="s">
        <v>8</v>
      </c>
      <c r="M17" s="2" t="s">
        <v>3</v>
      </c>
    </row>
    <row r="18" spans="1:14" x14ac:dyDescent="0.35">
      <c r="A18" s="1" t="s">
        <v>37</v>
      </c>
      <c r="B18" s="1" t="s">
        <v>38</v>
      </c>
      <c r="C18">
        <v>4.5999999999999996</v>
      </c>
      <c r="D18" t="str">
        <f>IF(Table2_2[[#This Row],[User_Rating]]&lt;4.164816,"Outlier","Normal")</f>
        <v>Normal</v>
      </c>
      <c r="E18">
        <v>2925</v>
      </c>
      <c r="F18" t="str">
        <f>IF(Table2_2[[#This Row],[Reviews]]&gt;$N$13,"Outlier"," Normal")</f>
        <v xml:space="preserve"> Normal</v>
      </c>
      <c r="G18">
        <v>6</v>
      </c>
      <c r="H18" t="str">
        <f>IF(Table2_2[[#This Row],[Price]]&gt;$N$20,"Outlier","Normal")</f>
        <v>Normal</v>
      </c>
      <c r="I18">
        <v>2015</v>
      </c>
      <c r="J18" t="str">
        <f>IF(Table2_2[[#This Row],[Year]]&gt;=2015,"Newer","Older")</f>
        <v>Newer</v>
      </c>
      <c r="K18" s="1" t="s">
        <v>8</v>
      </c>
      <c r="M18" t="s">
        <v>618</v>
      </c>
      <c r="N18">
        <f>AVERAGE(Table2_2[Price])</f>
        <v>13.1</v>
      </c>
    </row>
    <row r="19" spans="1:14" x14ac:dyDescent="0.35">
      <c r="A19" s="1" t="s">
        <v>39</v>
      </c>
      <c r="B19" s="1" t="s">
        <v>38</v>
      </c>
      <c r="C19">
        <v>4.4000000000000004</v>
      </c>
      <c r="D19" t="str">
        <f>IF(Table2_2[[#This Row],[User_Rating]]&lt;4.164816,"Outlier","Normal")</f>
        <v>Normal</v>
      </c>
      <c r="E19">
        <v>2951</v>
      </c>
      <c r="F19" t="str">
        <f>IF(Table2_2[[#This Row],[Reviews]]&gt;$N$13,"Outlier"," Normal")</f>
        <v xml:space="preserve"> Normal</v>
      </c>
      <c r="G19">
        <v>6</v>
      </c>
      <c r="H19" t="str">
        <f>IF(Table2_2[[#This Row],[Price]]&gt;$N$20,"Outlier","Normal")</f>
        <v>Normal</v>
      </c>
      <c r="I19">
        <v>2015</v>
      </c>
      <c r="J19" t="str">
        <f>IF(Table2_2[[#This Row],[Year]]&gt;=2015,"Newer","Older")</f>
        <v>Newer</v>
      </c>
      <c r="K19" s="1" t="s">
        <v>8</v>
      </c>
      <c r="M19" t="s">
        <v>619</v>
      </c>
      <c r="N19">
        <f>_xlfn.STDEV.P(Table2_2[Price])</f>
        <v>10.83240089227264</v>
      </c>
    </row>
    <row r="20" spans="1:14" x14ac:dyDescent="0.35">
      <c r="A20" s="1" t="s">
        <v>40</v>
      </c>
      <c r="B20" s="1" t="s">
        <v>41</v>
      </c>
      <c r="C20">
        <v>4.5</v>
      </c>
      <c r="D20" t="str">
        <f>IF(Table2_2[[#This Row],[User_Rating]]&lt;4.164816,"Outlier","Normal")</f>
        <v>Normal</v>
      </c>
      <c r="E20">
        <v>2426</v>
      </c>
      <c r="F20" t="str">
        <f>IF(Table2_2[[#This Row],[Reviews]]&gt;$N$13,"Outlier"," Normal")</f>
        <v xml:space="preserve"> Normal</v>
      </c>
      <c r="G20">
        <v>8</v>
      </c>
      <c r="H20" t="str">
        <f>IF(Table2_2[[#This Row],[Price]]&gt;$N$20,"Outlier","Normal")</f>
        <v>Normal</v>
      </c>
      <c r="I20">
        <v>2015</v>
      </c>
      <c r="J20" t="str">
        <f>IF(Table2_2[[#This Row],[Year]]&gt;=2015,"Newer","Older")</f>
        <v>Newer</v>
      </c>
      <c r="K20" s="1" t="s">
        <v>8</v>
      </c>
      <c r="M20" t="s">
        <v>614</v>
      </c>
      <c r="N20">
        <f>N18+(2*N19)</f>
        <v>34.764801784545277</v>
      </c>
    </row>
    <row r="21" spans="1:14" x14ac:dyDescent="0.35">
      <c r="A21" s="1" t="s">
        <v>42</v>
      </c>
      <c r="B21" s="1" t="s">
        <v>43</v>
      </c>
      <c r="C21">
        <v>4.8</v>
      </c>
      <c r="D21" t="str">
        <f>IF(Table2_2[[#This Row],[User_Rating]]&lt;4.164816,"Outlier","Normal")</f>
        <v>Normal</v>
      </c>
      <c r="E21">
        <v>9198</v>
      </c>
      <c r="F21" t="str">
        <f>IF(Table2_2[[#This Row],[Reviews]]&gt;$N$13,"Outlier"," Normal")</f>
        <v xml:space="preserve"> Normal</v>
      </c>
      <c r="G21">
        <v>13</v>
      </c>
      <c r="H21" t="str">
        <f>IF(Table2_2[[#This Row],[Price]]&gt;$N$20,"Outlier","Normal")</f>
        <v>Normal</v>
      </c>
      <c r="I21">
        <v>2016</v>
      </c>
      <c r="J21" t="str">
        <f>IF(Table2_2[[#This Row],[Year]]&gt;=2015,"Newer","Older")</f>
        <v>Newer</v>
      </c>
      <c r="K21" s="1" t="s">
        <v>8</v>
      </c>
      <c r="M21" t="s">
        <v>611</v>
      </c>
      <c r="N21">
        <f>N18-(2*N19)</f>
        <v>-8.5648017845452795</v>
      </c>
    </row>
    <row r="22" spans="1:14" x14ac:dyDescent="0.35">
      <c r="A22" s="1" t="s">
        <v>44</v>
      </c>
      <c r="B22" s="1" t="s">
        <v>45</v>
      </c>
      <c r="C22">
        <v>4.5999999999999996</v>
      </c>
      <c r="D22" t="str">
        <f>IF(Table2_2[[#This Row],[User_Rating]]&lt;4.164816,"Outlier","Normal")</f>
        <v>Normal</v>
      </c>
      <c r="E22">
        <v>36348</v>
      </c>
      <c r="F22" t="str">
        <f>IF(Table2_2[[#This Row],[Reviews]]&gt;$N$13,"Outlier"," Normal")</f>
        <v>Outlier</v>
      </c>
      <c r="G22">
        <v>14</v>
      </c>
      <c r="H22" t="str">
        <f>IF(Table2_2[[#This Row],[Price]]&gt;$N$20,"Outlier","Normal")</f>
        <v>Normal</v>
      </c>
      <c r="I22">
        <v>2014</v>
      </c>
      <c r="J22" t="str">
        <f>IF(Table2_2[[#This Row],[Year]]&gt;=2015,"Newer","Older")</f>
        <v>Older</v>
      </c>
      <c r="K22" s="1" t="s">
        <v>11</v>
      </c>
    </row>
    <row r="23" spans="1:14" x14ac:dyDescent="0.35">
      <c r="A23" s="1" t="s">
        <v>44</v>
      </c>
      <c r="B23" s="1" t="s">
        <v>45</v>
      </c>
      <c r="C23">
        <v>4.5999999999999996</v>
      </c>
      <c r="D23" t="str">
        <f>IF(Table2_2[[#This Row],[User_Rating]]&lt;4.164816,"Outlier","Normal")</f>
        <v>Normal</v>
      </c>
      <c r="E23">
        <v>36348</v>
      </c>
      <c r="F23" t="str">
        <f>IF(Table2_2[[#This Row],[Reviews]]&gt;$N$13,"Outlier"," Normal")</f>
        <v>Outlier</v>
      </c>
      <c r="G23">
        <v>14</v>
      </c>
      <c r="H23" t="str">
        <f>IF(Table2_2[[#This Row],[Price]]&gt;$N$20,"Outlier","Normal")</f>
        <v>Normal</v>
      </c>
      <c r="I23">
        <v>2015</v>
      </c>
      <c r="J23" t="str">
        <f>IF(Table2_2[[#This Row],[Year]]&gt;=2015,"Newer","Older")</f>
        <v>Newer</v>
      </c>
      <c r="K23" s="1" t="s">
        <v>11</v>
      </c>
    </row>
    <row r="24" spans="1:14" x14ac:dyDescent="0.35">
      <c r="A24" s="1" t="s">
        <v>46</v>
      </c>
      <c r="B24" s="1" t="s">
        <v>47</v>
      </c>
      <c r="C24">
        <v>3.9</v>
      </c>
      <c r="D24" t="str">
        <f>IF(Table2_2[[#This Row],[User_Rating]]&lt;4.164816,"Outlier","Normal")</f>
        <v>Outlier</v>
      </c>
      <c r="E24">
        <v>6310</v>
      </c>
      <c r="F24" t="str">
        <f>IF(Table2_2[[#This Row],[Reviews]]&gt;$N$13,"Outlier"," Normal")</f>
        <v xml:space="preserve"> Normal</v>
      </c>
      <c r="G24">
        <v>13</v>
      </c>
      <c r="H24" t="str">
        <f>IF(Table2_2[[#This Row],[Price]]&gt;$N$20,"Outlier","Normal")</f>
        <v>Normal</v>
      </c>
      <c r="I24">
        <v>2013</v>
      </c>
      <c r="J24" t="str">
        <f>IF(Table2_2[[#This Row],[Year]]&gt;=2015,"Newer","Older")</f>
        <v>Older</v>
      </c>
      <c r="K24" s="1" t="s">
        <v>11</v>
      </c>
    </row>
    <row r="25" spans="1:14" x14ac:dyDescent="0.35">
      <c r="A25" s="1" t="s">
        <v>48</v>
      </c>
      <c r="B25" s="1" t="s">
        <v>49</v>
      </c>
      <c r="C25">
        <v>4.5999999999999996</v>
      </c>
      <c r="D25" t="str">
        <f>IF(Table2_2[[#This Row],[User_Rating]]&lt;4.164816,"Outlier","Normal")</f>
        <v>Normal</v>
      </c>
      <c r="E25">
        <v>15921</v>
      </c>
      <c r="F25" t="str">
        <f>IF(Table2_2[[#This Row],[Reviews]]&gt;$N$13,"Outlier"," Normal")</f>
        <v xml:space="preserve"> Normal</v>
      </c>
      <c r="G25">
        <v>9</v>
      </c>
      <c r="H25" t="str">
        <f>IF(Table2_2[[#This Row],[Price]]&gt;$N$20,"Outlier","Normal")</f>
        <v>Normal</v>
      </c>
      <c r="I25">
        <v>2015</v>
      </c>
      <c r="J25" t="str">
        <f>IF(Table2_2[[#This Row],[Year]]&gt;=2015,"Newer","Older")</f>
        <v>Newer</v>
      </c>
      <c r="K25" s="1" t="s">
        <v>8</v>
      </c>
    </row>
    <row r="26" spans="1:14" x14ac:dyDescent="0.35">
      <c r="A26" s="1" t="s">
        <v>50</v>
      </c>
      <c r="B26" s="1" t="s">
        <v>51</v>
      </c>
      <c r="C26">
        <v>4.3</v>
      </c>
      <c r="D26" t="str">
        <f>IF(Table2_2[[#This Row],[User_Rating]]&lt;4.164816,"Outlier","Normal")</f>
        <v>Normal</v>
      </c>
      <c r="E26">
        <v>12159</v>
      </c>
      <c r="F26" t="str">
        <f>IF(Table2_2[[#This Row],[Reviews]]&gt;$N$13,"Outlier"," Normal")</f>
        <v xml:space="preserve"> Normal</v>
      </c>
      <c r="G26">
        <v>13</v>
      </c>
      <c r="H26" t="str">
        <f>IF(Table2_2[[#This Row],[Price]]&gt;$N$20,"Outlier","Normal")</f>
        <v>Normal</v>
      </c>
      <c r="I26">
        <v>2013</v>
      </c>
      <c r="J26" t="str">
        <f>IF(Table2_2[[#This Row],[Year]]&gt;=2015,"Newer","Older")</f>
        <v>Older</v>
      </c>
      <c r="K26" s="1" t="s">
        <v>11</v>
      </c>
    </row>
    <row r="27" spans="1:14" x14ac:dyDescent="0.35">
      <c r="A27" s="1" t="s">
        <v>52</v>
      </c>
      <c r="B27" s="1" t="s">
        <v>53</v>
      </c>
      <c r="C27">
        <v>4.5999999999999996</v>
      </c>
      <c r="D27" t="str">
        <f>IF(Table2_2[[#This Row],[User_Rating]]&lt;4.164816,"Outlier","Normal")</f>
        <v>Normal</v>
      </c>
      <c r="E27">
        <v>798</v>
      </c>
      <c r="F27" t="str">
        <f>IF(Table2_2[[#This Row],[Reviews]]&gt;$N$13,"Outlier"," Normal")</f>
        <v xml:space="preserve"> Normal</v>
      </c>
      <c r="G27">
        <v>5</v>
      </c>
      <c r="H27" t="str">
        <f>IF(Table2_2[[#This Row],[Price]]&gt;$N$20,"Outlier","Normal")</f>
        <v>Normal</v>
      </c>
      <c r="I27">
        <v>2009</v>
      </c>
      <c r="J27" t="str">
        <f>IF(Table2_2[[#This Row],[Year]]&gt;=2015,"Newer","Older")</f>
        <v>Older</v>
      </c>
      <c r="K27" s="1" t="s">
        <v>8</v>
      </c>
    </row>
    <row r="28" spans="1:14" x14ac:dyDescent="0.35">
      <c r="A28" s="1" t="s">
        <v>54</v>
      </c>
      <c r="B28" s="1" t="s">
        <v>55</v>
      </c>
      <c r="C28">
        <v>4.7</v>
      </c>
      <c r="D28" t="str">
        <f>IF(Table2_2[[#This Row],[User_Rating]]&lt;4.164816,"Outlier","Normal")</f>
        <v>Normal</v>
      </c>
      <c r="E28">
        <v>9374</v>
      </c>
      <c r="F28" t="str">
        <f>IF(Table2_2[[#This Row],[Reviews]]&gt;$N$13,"Outlier"," Normal")</f>
        <v xml:space="preserve"> Normal</v>
      </c>
      <c r="G28">
        <v>9</v>
      </c>
      <c r="H28" t="str">
        <f>IF(Table2_2[[#This Row],[Price]]&gt;$N$20,"Outlier","Normal")</f>
        <v>Normal</v>
      </c>
      <c r="I28">
        <v>2017</v>
      </c>
      <c r="J28" t="str">
        <f>IF(Table2_2[[#This Row],[Year]]&gt;=2015,"Newer","Older")</f>
        <v>Newer</v>
      </c>
      <c r="K28" s="1" t="s">
        <v>8</v>
      </c>
    </row>
    <row r="29" spans="1:14" x14ac:dyDescent="0.35">
      <c r="A29" s="1" t="s">
        <v>56</v>
      </c>
      <c r="B29" s="1" t="s">
        <v>57</v>
      </c>
      <c r="C29">
        <v>4.2</v>
      </c>
      <c r="D29" t="str">
        <f>IF(Table2_2[[#This Row],[User_Rating]]&lt;4.164816,"Outlier","Normal")</f>
        <v>Normal</v>
      </c>
      <c r="E29">
        <v>491</v>
      </c>
      <c r="F29" t="str">
        <f>IF(Table2_2[[#This Row],[Reviews]]&gt;$N$13,"Outlier"," Normal")</f>
        <v xml:space="preserve"> Normal</v>
      </c>
      <c r="G29">
        <v>14</v>
      </c>
      <c r="H29" t="str">
        <f>IF(Table2_2[[#This Row],[Price]]&gt;$N$20,"Outlier","Normal")</f>
        <v>Normal</v>
      </c>
      <c r="I29">
        <v>2010</v>
      </c>
      <c r="J29" t="str">
        <f>IF(Table2_2[[#This Row],[Year]]&gt;=2015,"Newer","Older")</f>
        <v>Older</v>
      </c>
      <c r="K29" s="1" t="s">
        <v>8</v>
      </c>
    </row>
    <row r="30" spans="1:14" x14ac:dyDescent="0.35">
      <c r="A30" s="1" t="s">
        <v>58</v>
      </c>
      <c r="B30" s="1" t="s">
        <v>59</v>
      </c>
      <c r="C30">
        <v>4.5999999999999996</v>
      </c>
      <c r="D30" t="str">
        <f>IF(Table2_2[[#This Row],[User_Rating]]&lt;4.164816,"Outlier","Normal")</f>
        <v>Normal</v>
      </c>
      <c r="E30">
        <v>5360</v>
      </c>
      <c r="F30" t="str">
        <f>IF(Table2_2[[#This Row],[Reviews]]&gt;$N$13,"Outlier"," Normal")</f>
        <v xml:space="preserve"> Normal</v>
      </c>
      <c r="G30">
        <v>5</v>
      </c>
      <c r="H30" t="str">
        <f>IF(Table2_2[[#This Row],[Price]]&gt;$N$20,"Outlier","Normal")</f>
        <v>Normal</v>
      </c>
      <c r="I30">
        <v>2015</v>
      </c>
      <c r="J30" t="str">
        <f>IF(Table2_2[[#This Row],[Year]]&gt;=2015,"Newer","Older")</f>
        <v>Newer</v>
      </c>
      <c r="K30" s="1" t="s">
        <v>8</v>
      </c>
    </row>
    <row r="31" spans="1:14" x14ac:dyDescent="0.35">
      <c r="A31" s="1" t="s">
        <v>60</v>
      </c>
      <c r="B31" s="1" t="s">
        <v>61</v>
      </c>
      <c r="C31">
        <v>4.5999999999999996</v>
      </c>
      <c r="D31" t="str">
        <f>IF(Table2_2[[#This Row],[User_Rating]]&lt;4.164816,"Outlier","Normal")</f>
        <v>Normal</v>
      </c>
      <c r="E31">
        <v>1909</v>
      </c>
      <c r="F31" t="str">
        <f>IF(Table2_2[[#This Row],[Reviews]]&gt;$N$13,"Outlier"," Normal")</f>
        <v xml:space="preserve"> Normal</v>
      </c>
      <c r="G31">
        <v>11</v>
      </c>
      <c r="H31" t="str">
        <f>IF(Table2_2[[#This Row],[Price]]&gt;$N$20,"Outlier","Normal")</f>
        <v>Normal</v>
      </c>
      <c r="I31">
        <v>2015</v>
      </c>
      <c r="J31" t="str">
        <f>IF(Table2_2[[#This Row],[Year]]&gt;=2015,"Newer","Older")</f>
        <v>Newer</v>
      </c>
      <c r="K31" s="1" t="s">
        <v>8</v>
      </c>
    </row>
    <row r="32" spans="1:14" x14ac:dyDescent="0.35">
      <c r="A32" s="1" t="s">
        <v>62</v>
      </c>
      <c r="B32" s="1" t="s">
        <v>63</v>
      </c>
      <c r="C32">
        <v>4.8</v>
      </c>
      <c r="D32" t="str">
        <f>IF(Table2_2[[#This Row],[User_Rating]]&lt;4.164816,"Outlier","Normal")</f>
        <v>Normal</v>
      </c>
      <c r="E32">
        <v>1296</v>
      </c>
      <c r="F32" t="str">
        <f>IF(Table2_2[[#This Row],[Reviews]]&gt;$N$13,"Outlier"," Normal")</f>
        <v xml:space="preserve"> Normal</v>
      </c>
      <c r="G32">
        <v>24</v>
      </c>
      <c r="H32" t="str">
        <f>IF(Table2_2[[#This Row],[Price]]&gt;$N$20,"Outlier","Normal")</f>
        <v>Normal</v>
      </c>
      <c r="I32">
        <v>2012</v>
      </c>
      <c r="J32" t="str">
        <f>IF(Table2_2[[#This Row],[Year]]&gt;=2015,"Newer","Older")</f>
        <v>Older</v>
      </c>
      <c r="K32" s="1" t="s">
        <v>8</v>
      </c>
    </row>
    <row r="33" spans="1:11" x14ac:dyDescent="0.35">
      <c r="A33" s="1" t="s">
        <v>64</v>
      </c>
      <c r="B33" s="1" t="s">
        <v>63</v>
      </c>
      <c r="C33">
        <v>4.7</v>
      </c>
      <c r="D33" t="str">
        <f>IF(Table2_2[[#This Row],[User_Rating]]&lt;4.164816,"Outlier","Normal")</f>
        <v>Normal</v>
      </c>
      <c r="E33">
        <v>615</v>
      </c>
      <c r="F33" t="str">
        <f>IF(Table2_2[[#This Row],[Reviews]]&gt;$N$13,"Outlier"," Normal")</f>
        <v xml:space="preserve"> Normal</v>
      </c>
      <c r="G33">
        <v>21</v>
      </c>
      <c r="H33" t="str">
        <f>IF(Table2_2[[#This Row],[Price]]&gt;$N$20,"Outlier","Normal")</f>
        <v>Normal</v>
      </c>
      <c r="I33">
        <v>2010</v>
      </c>
      <c r="J33" t="str">
        <f>IF(Table2_2[[#This Row],[Year]]&gt;=2015,"Newer","Older")</f>
        <v>Older</v>
      </c>
      <c r="K33" s="1" t="s">
        <v>8</v>
      </c>
    </row>
    <row r="34" spans="1:11" x14ac:dyDescent="0.35">
      <c r="A34" s="1" t="s">
        <v>65</v>
      </c>
      <c r="B34" s="1" t="s">
        <v>66</v>
      </c>
      <c r="C34">
        <v>4.8</v>
      </c>
      <c r="D34" t="str">
        <f>IF(Table2_2[[#This Row],[User_Rating]]&lt;4.164816,"Outlier","Normal")</f>
        <v>Normal</v>
      </c>
      <c r="E34">
        <v>61133</v>
      </c>
      <c r="F34" t="str">
        <f>IF(Table2_2[[#This Row],[Reviews]]&gt;$N$13,"Outlier"," Normal")</f>
        <v>Outlier</v>
      </c>
      <c r="G34">
        <v>11</v>
      </c>
      <c r="H34" t="str">
        <f>IF(Table2_2[[#This Row],[Price]]&gt;$N$20,"Outlier","Normal")</f>
        <v>Normal</v>
      </c>
      <c r="I34">
        <v>2018</v>
      </c>
      <c r="J34" t="str">
        <f>IF(Table2_2[[#This Row],[Year]]&gt;=2015,"Newer","Older")</f>
        <v>Newer</v>
      </c>
      <c r="K34" s="1" t="s">
        <v>8</v>
      </c>
    </row>
    <row r="35" spans="1:11" x14ac:dyDescent="0.35">
      <c r="A35" s="1" t="s">
        <v>65</v>
      </c>
      <c r="B35" s="1" t="s">
        <v>66</v>
      </c>
      <c r="C35">
        <v>4.8</v>
      </c>
      <c r="D35" t="str">
        <f>IF(Table2_2[[#This Row],[User_Rating]]&lt;4.164816,"Outlier","Normal")</f>
        <v>Normal</v>
      </c>
      <c r="E35">
        <v>61133</v>
      </c>
      <c r="F35" t="str">
        <f>IF(Table2_2[[#This Row],[Reviews]]&gt;$N$13,"Outlier"," Normal")</f>
        <v>Outlier</v>
      </c>
      <c r="G35">
        <v>11</v>
      </c>
      <c r="H35" t="str">
        <f>IF(Table2_2[[#This Row],[Price]]&gt;$N$20,"Outlier","Normal")</f>
        <v>Normal</v>
      </c>
      <c r="I35">
        <v>2019</v>
      </c>
      <c r="J35" t="str">
        <f>IF(Table2_2[[#This Row],[Year]]&gt;=2015,"Newer","Older")</f>
        <v>Newer</v>
      </c>
      <c r="K35" s="1" t="s">
        <v>8</v>
      </c>
    </row>
    <row r="36" spans="1:11" x14ac:dyDescent="0.35">
      <c r="A36" s="1" t="s">
        <v>67</v>
      </c>
      <c r="B36" s="1" t="s">
        <v>68</v>
      </c>
      <c r="C36">
        <v>4.8</v>
      </c>
      <c r="D36" t="str">
        <f>IF(Table2_2[[#This Row],[User_Rating]]&lt;4.164816,"Outlier","Normal")</f>
        <v>Normal</v>
      </c>
      <c r="E36">
        <v>11113</v>
      </c>
      <c r="F36" t="str">
        <f>IF(Table2_2[[#This Row],[Reviews]]&gt;$N$13,"Outlier"," Normal")</f>
        <v xml:space="preserve"> Normal</v>
      </c>
      <c r="G36">
        <v>15</v>
      </c>
      <c r="H36" t="str">
        <f>IF(Table2_2[[#This Row],[Price]]&gt;$N$20,"Outlier","Normal")</f>
        <v>Normal</v>
      </c>
      <c r="I36">
        <v>2015</v>
      </c>
      <c r="J36" t="str">
        <f>IF(Table2_2[[#This Row],[Year]]&gt;=2015,"Newer","Older")</f>
        <v>Newer</v>
      </c>
      <c r="K36" s="1" t="s">
        <v>8</v>
      </c>
    </row>
    <row r="37" spans="1:11" x14ac:dyDescent="0.35">
      <c r="A37" s="1" t="s">
        <v>69</v>
      </c>
      <c r="B37" s="1" t="s">
        <v>70</v>
      </c>
      <c r="C37">
        <v>4.7</v>
      </c>
      <c r="D37" t="str">
        <f>IF(Table2_2[[#This Row],[User_Rating]]&lt;4.164816,"Outlier","Normal")</f>
        <v>Normal</v>
      </c>
      <c r="E37">
        <v>10070</v>
      </c>
      <c r="F37" t="str">
        <f>IF(Table2_2[[#This Row],[Reviews]]&gt;$N$13,"Outlier"," Normal")</f>
        <v xml:space="preserve"> Normal</v>
      </c>
      <c r="G37">
        <v>13</v>
      </c>
      <c r="H37" t="str">
        <f>IF(Table2_2[[#This Row],[Price]]&gt;$N$20,"Outlier","Normal")</f>
        <v>Normal</v>
      </c>
      <c r="I37">
        <v>2015</v>
      </c>
      <c r="J37" t="str">
        <f>IF(Table2_2[[#This Row],[Year]]&gt;=2015,"Newer","Older")</f>
        <v>Newer</v>
      </c>
      <c r="K37" s="1" t="s">
        <v>8</v>
      </c>
    </row>
    <row r="38" spans="1:11" x14ac:dyDescent="0.35">
      <c r="A38" s="1" t="s">
        <v>69</v>
      </c>
      <c r="B38" s="1" t="s">
        <v>70</v>
      </c>
      <c r="C38">
        <v>4.7</v>
      </c>
      <c r="D38" t="str">
        <f>IF(Table2_2[[#This Row],[User_Rating]]&lt;4.164816,"Outlier","Normal")</f>
        <v>Normal</v>
      </c>
      <c r="E38">
        <v>10070</v>
      </c>
      <c r="F38" t="str">
        <f>IF(Table2_2[[#This Row],[Reviews]]&gt;$N$13,"Outlier"," Normal")</f>
        <v xml:space="preserve"> Normal</v>
      </c>
      <c r="G38">
        <v>13</v>
      </c>
      <c r="H38" t="str">
        <f>IF(Table2_2[[#This Row],[Price]]&gt;$N$20,"Outlier","Normal")</f>
        <v>Normal</v>
      </c>
      <c r="I38">
        <v>2016</v>
      </c>
      <c r="J38" t="str">
        <f>IF(Table2_2[[#This Row],[Year]]&gt;=2015,"Newer","Older")</f>
        <v>Newer</v>
      </c>
      <c r="K38" s="1" t="s">
        <v>8</v>
      </c>
    </row>
    <row r="39" spans="1:11" x14ac:dyDescent="0.35">
      <c r="A39" s="1" t="s">
        <v>71</v>
      </c>
      <c r="B39" s="1" t="s">
        <v>72</v>
      </c>
      <c r="C39">
        <v>4.7</v>
      </c>
      <c r="D39" t="str">
        <f>IF(Table2_2[[#This Row],[User_Rating]]&lt;4.164816,"Outlier","Normal")</f>
        <v>Normal</v>
      </c>
      <c r="E39">
        <v>3729</v>
      </c>
      <c r="F39" t="str">
        <f>IF(Table2_2[[#This Row],[Reviews]]&gt;$N$13,"Outlier"," Normal")</f>
        <v xml:space="preserve"> Normal</v>
      </c>
      <c r="G39">
        <v>18</v>
      </c>
      <c r="H39" t="str">
        <f>IF(Table2_2[[#This Row],[Price]]&gt;$N$20,"Outlier","Normal")</f>
        <v>Normal</v>
      </c>
      <c r="I39">
        <v>2016</v>
      </c>
      <c r="J39" t="str">
        <f>IF(Table2_2[[#This Row],[Year]]&gt;=2015,"Newer","Older")</f>
        <v>Newer</v>
      </c>
      <c r="K39" s="1" t="s">
        <v>8</v>
      </c>
    </row>
    <row r="40" spans="1:11" x14ac:dyDescent="0.35">
      <c r="A40" s="1" t="s">
        <v>73</v>
      </c>
      <c r="B40" s="1" t="s">
        <v>74</v>
      </c>
      <c r="C40">
        <v>4.5999999999999996</v>
      </c>
      <c r="D40" t="str">
        <f>IF(Table2_2[[#This Row],[User_Rating]]&lt;4.164816,"Outlier","Normal")</f>
        <v>Normal</v>
      </c>
      <c r="E40">
        <v>9769</v>
      </c>
      <c r="F40" t="str">
        <f>IF(Table2_2[[#This Row],[Reviews]]&gt;$N$13,"Outlier"," Normal")</f>
        <v xml:space="preserve"> Normal</v>
      </c>
      <c r="G40">
        <v>13</v>
      </c>
      <c r="H40" t="str">
        <f>IF(Table2_2[[#This Row],[Price]]&gt;$N$20,"Outlier","Normal")</f>
        <v>Normal</v>
      </c>
      <c r="I40">
        <v>2009</v>
      </c>
      <c r="J40" t="str">
        <f>IF(Table2_2[[#This Row],[Year]]&gt;=2015,"Newer","Older")</f>
        <v>Older</v>
      </c>
      <c r="K40" s="1" t="s">
        <v>11</v>
      </c>
    </row>
    <row r="41" spans="1:11" x14ac:dyDescent="0.35">
      <c r="A41" s="1" t="s">
        <v>75</v>
      </c>
      <c r="B41" s="1" t="s">
        <v>53</v>
      </c>
      <c r="C41">
        <v>4.5</v>
      </c>
      <c r="D41" t="str">
        <f>IF(Table2_2[[#This Row],[User_Rating]]&lt;4.164816,"Outlier","Normal")</f>
        <v>Normal</v>
      </c>
      <c r="E41">
        <v>471</v>
      </c>
      <c r="F41" t="str">
        <f>IF(Table2_2[[#This Row],[Reviews]]&gt;$N$13,"Outlier"," Normal")</f>
        <v xml:space="preserve"> Normal</v>
      </c>
      <c r="G41">
        <v>8</v>
      </c>
      <c r="H41" t="str">
        <f>IF(Table2_2[[#This Row],[Price]]&gt;$N$20,"Outlier","Normal")</f>
        <v>Normal</v>
      </c>
      <c r="I41">
        <v>2010</v>
      </c>
      <c r="J41" t="str">
        <f>IF(Table2_2[[#This Row],[Year]]&gt;=2015,"Newer","Older")</f>
        <v>Older</v>
      </c>
      <c r="K41" s="1" t="s">
        <v>8</v>
      </c>
    </row>
    <row r="42" spans="1:11" x14ac:dyDescent="0.35">
      <c r="A42" s="1" t="s">
        <v>76</v>
      </c>
      <c r="B42" s="1" t="s">
        <v>77</v>
      </c>
      <c r="C42">
        <v>4.9000000000000004</v>
      </c>
      <c r="D42" t="str">
        <f>IF(Table2_2[[#This Row],[User_Rating]]&lt;4.164816,"Outlier","Normal")</f>
        <v>Normal</v>
      </c>
      <c r="E42">
        <v>14344</v>
      </c>
      <c r="F42" t="str">
        <f>IF(Table2_2[[#This Row],[Reviews]]&gt;$N$13,"Outlier"," Normal")</f>
        <v xml:space="preserve"> Normal</v>
      </c>
      <c r="G42">
        <v>5</v>
      </c>
      <c r="H42" t="str">
        <f>IF(Table2_2[[#This Row],[Price]]&gt;$N$20,"Outlier","Normal")</f>
        <v>Normal</v>
      </c>
      <c r="I42">
        <v>2017</v>
      </c>
      <c r="J42" t="str">
        <f>IF(Table2_2[[#This Row],[Year]]&gt;=2015,"Newer","Older")</f>
        <v>Newer</v>
      </c>
      <c r="K42" s="1" t="s">
        <v>11</v>
      </c>
    </row>
    <row r="43" spans="1:11" x14ac:dyDescent="0.35">
      <c r="A43" s="1" t="s">
        <v>76</v>
      </c>
      <c r="B43" s="1" t="s">
        <v>77</v>
      </c>
      <c r="C43">
        <v>4.9000000000000004</v>
      </c>
      <c r="D43" t="str">
        <f>IF(Table2_2[[#This Row],[User_Rating]]&lt;4.164816,"Outlier","Normal")</f>
        <v>Normal</v>
      </c>
      <c r="E43">
        <v>14344</v>
      </c>
      <c r="F43" t="str">
        <f>IF(Table2_2[[#This Row],[Reviews]]&gt;$N$13,"Outlier"," Normal")</f>
        <v xml:space="preserve"> Normal</v>
      </c>
      <c r="G43">
        <v>5</v>
      </c>
      <c r="H43" t="str">
        <f>IF(Table2_2[[#This Row],[Price]]&gt;$N$20,"Outlier","Normal")</f>
        <v>Normal</v>
      </c>
      <c r="I43">
        <v>2019</v>
      </c>
      <c r="J43" t="str">
        <f>IF(Table2_2[[#This Row],[Year]]&gt;=2015,"Newer","Older")</f>
        <v>Newer</v>
      </c>
      <c r="K43" s="1" t="s">
        <v>11</v>
      </c>
    </row>
    <row r="44" spans="1:11" x14ac:dyDescent="0.35">
      <c r="A44" s="1" t="s">
        <v>78</v>
      </c>
      <c r="B44" s="1" t="s">
        <v>79</v>
      </c>
      <c r="C44">
        <v>4.8</v>
      </c>
      <c r="D44" t="str">
        <f>IF(Table2_2[[#This Row],[User_Rating]]&lt;4.164816,"Outlier","Normal")</f>
        <v>Normal</v>
      </c>
      <c r="E44">
        <v>4505</v>
      </c>
      <c r="F44" t="str">
        <f>IF(Table2_2[[#This Row],[Reviews]]&gt;$N$13,"Outlier"," Normal")</f>
        <v xml:space="preserve"> Normal</v>
      </c>
      <c r="G44">
        <v>0</v>
      </c>
      <c r="H44" t="str">
        <f>IF(Table2_2[[#This Row],[Price]]&gt;$N$20,"Outlier","Normal")</f>
        <v>Normal</v>
      </c>
      <c r="I44">
        <v>2011</v>
      </c>
      <c r="J44" t="str">
        <f>IF(Table2_2[[#This Row],[Year]]&gt;=2015,"Newer","Older")</f>
        <v>Older</v>
      </c>
      <c r="K44" s="1" t="s">
        <v>11</v>
      </c>
    </row>
    <row r="45" spans="1:11" x14ac:dyDescent="0.35">
      <c r="A45" s="1" t="s">
        <v>80</v>
      </c>
      <c r="B45" s="1" t="s">
        <v>81</v>
      </c>
      <c r="C45">
        <v>4.5999999999999996</v>
      </c>
      <c r="D45" t="str">
        <f>IF(Table2_2[[#This Row],[User_Rating]]&lt;4.164816,"Outlier","Normal")</f>
        <v>Normal</v>
      </c>
      <c r="E45">
        <v>10369</v>
      </c>
      <c r="F45" t="str">
        <f>IF(Table2_2[[#This Row],[Reviews]]&gt;$N$13,"Outlier"," Normal")</f>
        <v xml:space="preserve"> Normal</v>
      </c>
      <c r="G45">
        <v>4</v>
      </c>
      <c r="H45" t="str">
        <f>IF(Table2_2[[#This Row],[Price]]&gt;$N$20,"Outlier","Normal")</f>
        <v>Normal</v>
      </c>
      <c r="I45">
        <v>2016</v>
      </c>
      <c r="J45" t="str">
        <f>IF(Table2_2[[#This Row],[Year]]&gt;=2015,"Newer","Older")</f>
        <v>Newer</v>
      </c>
      <c r="K45" s="1" t="s">
        <v>8</v>
      </c>
    </row>
    <row r="46" spans="1:11" x14ac:dyDescent="0.35">
      <c r="A46" s="1" t="s">
        <v>82</v>
      </c>
      <c r="B46" s="1" t="s">
        <v>83</v>
      </c>
      <c r="C46">
        <v>4.8</v>
      </c>
      <c r="D46" t="str">
        <f>IF(Table2_2[[#This Row],[User_Rating]]&lt;4.164816,"Outlier","Normal")</f>
        <v>Normal</v>
      </c>
      <c r="E46">
        <v>16244</v>
      </c>
      <c r="F46" t="str">
        <f>IF(Table2_2[[#This Row],[Reviews]]&gt;$N$13,"Outlier"," Normal")</f>
        <v xml:space="preserve"> Normal</v>
      </c>
      <c r="G46">
        <v>18</v>
      </c>
      <c r="H46" t="str">
        <f>IF(Table2_2[[#This Row],[Price]]&gt;$N$20,"Outlier","Normal")</f>
        <v>Normal</v>
      </c>
      <c r="I46">
        <v>2019</v>
      </c>
      <c r="J46" t="str">
        <f>IF(Table2_2[[#This Row],[Year]]&gt;=2015,"Newer","Older")</f>
        <v>Newer</v>
      </c>
      <c r="K46" s="1" t="s">
        <v>8</v>
      </c>
    </row>
    <row r="47" spans="1:11" x14ac:dyDescent="0.35">
      <c r="A47" s="1" t="s">
        <v>84</v>
      </c>
      <c r="B47" s="1" t="s">
        <v>85</v>
      </c>
      <c r="C47">
        <v>4.5</v>
      </c>
      <c r="D47" t="str">
        <f>IF(Table2_2[[#This Row],[User_Rating]]&lt;4.164816,"Outlier","Normal")</f>
        <v>Normal</v>
      </c>
      <c r="E47">
        <v>2884</v>
      </c>
      <c r="F47" t="str">
        <f>IF(Table2_2[[#This Row],[Reviews]]&gt;$N$13,"Outlier"," Normal")</f>
        <v xml:space="preserve"> Normal</v>
      </c>
      <c r="G47">
        <v>28</v>
      </c>
      <c r="H47" t="str">
        <f>IF(Table2_2[[#This Row],[Price]]&gt;$N$20,"Outlier","Normal")</f>
        <v>Normal</v>
      </c>
      <c r="I47">
        <v>2014</v>
      </c>
      <c r="J47" t="str">
        <f>IF(Table2_2[[#This Row],[Year]]&gt;=2015,"Newer","Older")</f>
        <v>Older</v>
      </c>
      <c r="K47" s="1" t="s">
        <v>8</v>
      </c>
    </row>
    <row r="48" spans="1:11" x14ac:dyDescent="0.35">
      <c r="A48" s="1" t="s">
        <v>86</v>
      </c>
      <c r="B48" s="1" t="s">
        <v>87</v>
      </c>
      <c r="C48">
        <v>4.7</v>
      </c>
      <c r="D48" t="str">
        <f>IF(Table2_2[[#This Row],[User_Rating]]&lt;4.164816,"Outlier","Normal")</f>
        <v>Normal</v>
      </c>
      <c r="E48">
        <v>22614</v>
      </c>
      <c r="F48" t="str">
        <f>IF(Table2_2[[#This Row],[Reviews]]&gt;$N$13,"Outlier"," Normal")</f>
        <v xml:space="preserve"> Normal</v>
      </c>
      <c r="G48">
        <v>11</v>
      </c>
      <c r="H48" t="str">
        <f>IF(Table2_2[[#This Row],[Price]]&gt;$N$20,"Outlier","Normal")</f>
        <v>Normal</v>
      </c>
      <c r="I48">
        <v>2010</v>
      </c>
      <c r="J48" t="str">
        <f>IF(Table2_2[[#This Row],[Year]]&gt;=2015,"Newer","Older")</f>
        <v>Older</v>
      </c>
      <c r="K48" s="1" t="s">
        <v>11</v>
      </c>
    </row>
    <row r="49" spans="1:11" x14ac:dyDescent="0.35">
      <c r="A49" s="1" t="s">
        <v>86</v>
      </c>
      <c r="B49" s="1" t="s">
        <v>87</v>
      </c>
      <c r="C49">
        <v>4.7</v>
      </c>
      <c r="D49" t="str">
        <f>IF(Table2_2[[#This Row],[User_Rating]]&lt;4.164816,"Outlier","Normal")</f>
        <v>Normal</v>
      </c>
      <c r="E49">
        <v>22614</v>
      </c>
      <c r="F49" t="str">
        <f>IF(Table2_2[[#This Row],[Reviews]]&gt;$N$13,"Outlier"," Normal")</f>
        <v xml:space="preserve"> Normal</v>
      </c>
      <c r="G49">
        <v>11</v>
      </c>
      <c r="H49" t="str">
        <f>IF(Table2_2[[#This Row],[Price]]&gt;$N$20,"Outlier","Normal")</f>
        <v>Normal</v>
      </c>
      <c r="I49">
        <v>2011</v>
      </c>
      <c r="J49" t="str">
        <f>IF(Table2_2[[#This Row],[Year]]&gt;=2015,"Newer","Older")</f>
        <v>Older</v>
      </c>
      <c r="K49" s="1" t="s">
        <v>11</v>
      </c>
    </row>
    <row r="50" spans="1:11" x14ac:dyDescent="0.35">
      <c r="A50" s="1" t="s">
        <v>86</v>
      </c>
      <c r="B50" s="1" t="s">
        <v>87</v>
      </c>
      <c r="C50">
        <v>4.7</v>
      </c>
      <c r="D50" t="str">
        <f>IF(Table2_2[[#This Row],[User_Rating]]&lt;4.164816,"Outlier","Normal")</f>
        <v>Normal</v>
      </c>
      <c r="E50">
        <v>22614</v>
      </c>
      <c r="F50" t="str">
        <f>IF(Table2_2[[#This Row],[Reviews]]&gt;$N$13,"Outlier"," Normal")</f>
        <v xml:space="preserve"> Normal</v>
      </c>
      <c r="G50">
        <v>11</v>
      </c>
      <c r="H50" t="str">
        <f>IF(Table2_2[[#This Row],[Price]]&gt;$N$20,"Outlier","Normal")</f>
        <v>Normal</v>
      </c>
      <c r="I50">
        <v>2012</v>
      </c>
      <c r="J50" t="str">
        <f>IF(Table2_2[[#This Row],[Year]]&gt;=2015,"Newer","Older")</f>
        <v>Older</v>
      </c>
      <c r="K50" s="1" t="s">
        <v>11</v>
      </c>
    </row>
    <row r="51" spans="1:11" x14ac:dyDescent="0.35">
      <c r="A51" s="1" t="s">
        <v>88</v>
      </c>
      <c r="B51" s="1" t="s">
        <v>89</v>
      </c>
      <c r="C51">
        <v>4.7</v>
      </c>
      <c r="D51" t="str">
        <f>IF(Table2_2[[#This Row],[User_Rating]]&lt;4.164816,"Outlier","Normal")</f>
        <v>Normal</v>
      </c>
      <c r="E51">
        <v>4761</v>
      </c>
      <c r="F51" t="str">
        <f>IF(Table2_2[[#This Row],[Reviews]]&gt;$N$13,"Outlier"," Normal")</f>
        <v xml:space="preserve"> Normal</v>
      </c>
      <c r="G51">
        <v>16</v>
      </c>
      <c r="H51" t="str">
        <f>IF(Table2_2[[#This Row],[Price]]&gt;$N$20,"Outlier","Normal")</f>
        <v>Normal</v>
      </c>
      <c r="I51">
        <v>2016</v>
      </c>
      <c r="J51" t="str">
        <f>IF(Table2_2[[#This Row],[Year]]&gt;=2015,"Newer","Older")</f>
        <v>Newer</v>
      </c>
      <c r="K51" s="1" t="s">
        <v>8</v>
      </c>
    </row>
    <row r="52" spans="1:11" x14ac:dyDescent="0.35">
      <c r="A52" s="1" t="s">
        <v>90</v>
      </c>
      <c r="B52" s="1" t="s">
        <v>91</v>
      </c>
      <c r="C52">
        <v>4.7</v>
      </c>
      <c r="D52" t="str">
        <f>IF(Table2_2[[#This Row],[User_Rating]]&lt;4.164816,"Outlier","Normal")</f>
        <v>Normal</v>
      </c>
      <c r="E52">
        <v>1542</v>
      </c>
      <c r="F52" t="str">
        <f>IF(Table2_2[[#This Row],[Reviews]]&gt;$N$13,"Outlier"," Normal")</f>
        <v xml:space="preserve"> Normal</v>
      </c>
      <c r="G52">
        <v>14</v>
      </c>
      <c r="H52" t="str">
        <f>IF(Table2_2[[#This Row],[Price]]&gt;$N$20,"Outlier","Normal")</f>
        <v>Normal</v>
      </c>
      <c r="I52">
        <v>2009</v>
      </c>
      <c r="J52" t="str">
        <f>IF(Table2_2[[#This Row],[Year]]&gt;=2015,"Newer","Older")</f>
        <v>Older</v>
      </c>
      <c r="K52" s="1" t="s">
        <v>8</v>
      </c>
    </row>
    <row r="53" spans="1:11" x14ac:dyDescent="0.35">
      <c r="A53" s="1" t="s">
        <v>90</v>
      </c>
      <c r="B53" s="1" t="s">
        <v>91</v>
      </c>
      <c r="C53">
        <v>4.7</v>
      </c>
      <c r="D53" t="str">
        <f>IF(Table2_2[[#This Row],[User_Rating]]&lt;4.164816,"Outlier","Normal")</f>
        <v>Normal</v>
      </c>
      <c r="E53">
        <v>1542</v>
      </c>
      <c r="F53" t="str">
        <f>IF(Table2_2[[#This Row],[Reviews]]&gt;$N$13,"Outlier"," Normal")</f>
        <v xml:space="preserve"> Normal</v>
      </c>
      <c r="G53">
        <v>14</v>
      </c>
      <c r="H53" t="str">
        <f>IF(Table2_2[[#This Row],[Price]]&gt;$N$20,"Outlier","Normal")</f>
        <v>Normal</v>
      </c>
      <c r="I53">
        <v>2010</v>
      </c>
      <c r="J53" t="str">
        <f>IF(Table2_2[[#This Row],[Year]]&gt;=2015,"Newer","Older")</f>
        <v>Older</v>
      </c>
      <c r="K53" s="1" t="s">
        <v>8</v>
      </c>
    </row>
    <row r="54" spans="1:11" x14ac:dyDescent="0.35">
      <c r="A54" s="1" t="s">
        <v>90</v>
      </c>
      <c r="B54" s="1" t="s">
        <v>91</v>
      </c>
      <c r="C54">
        <v>4.7</v>
      </c>
      <c r="D54" t="str">
        <f>IF(Table2_2[[#This Row],[User_Rating]]&lt;4.164816,"Outlier","Normal")</f>
        <v>Normal</v>
      </c>
      <c r="E54">
        <v>1542</v>
      </c>
      <c r="F54" t="str">
        <f>IF(Table2_2[[#This Row],[Reviews]]&gt;$N$13,"Outlier"," Normal")</f>
        <v xml:space="preserve"> Normal</v>
      </c>
      <c r="G54">
        <v>14</v>
      </c>
      <c r="H54" t="str">
        <f>IF(Table2_2[[#This Row],[Price]]&gt;$N$20,"Outlier","Normal")</f>
        <v>Normal</v>
      </c>
      <c r="I54">
        <v>2011</v>
      </c>
      <c r="J54" t="str">
        <f>IF(Table2_2[[#This Row],[Year]]&gt;=2015,"Newer","Older")</f>
        <v>Older</v>
      </c>
      <c r="K54" s="1" t="s">
        <v>8</v>
      </c>
    </row>
    <row r="55" spans="1:11" x14ac:dyDescent="0.35">
      <c r="A55" s="1" t="s">
        <v>92</v>
      </c>
      <c r="B55" s="1" t="s">
        <v>93</v>
      </c>
      <c r="C55">
        <v>4.3</v>
      </c>
      <c r="D55" t="str">
        <f>IF(Table2_2[[#This Row],[User_Rating]]&lt;4.164816,"Outlier","Normal")</f>
        <v>Normal</v>
      </c>
      <c r="E55">
        <v>6143</v>
      </c>
      <c r="F55" t="str">
        <f>IF(Table2_2[[#This Row],[Reviews]]&gt;$N$13,"Outlier"," Normal")</f>
        <v xml:space="preserve"> Normal</v>
      </c>
      <c r="G55">
        <v>8</v>
      </c>
      <c r="H55" t="str">
        <f>IF(Table2_2[[#This Row],[Price]]&gt;$N$20,"Outlier","Normal")</f>
        <v>Normal</v>
      </c>
      <c r="I55">
        <v>2018</v>
      </c>
      <c r="J55" t="str">
        <f>IF(Table2_2[[#This Row],[Year]]&gt;=2015,"Newer","Older")</f>
        <v>Newer</v>
      </c>
      <c r="K55" s="1" t="s">
        <v>11</v>
      </c>
    </row>
    <row r="56" spans="1:11" x14ac:dyDescent="0.35">
      <c r="A56" s="1" t="s">
        <v>94</v>
      </c>
      <c r="B56" s="1" t="s">
        <v>95</v>
      </c>
      <c r="C56">
        <v>4.8</v>
      </c>
      <c r="D56" t="str">
        <f>IF(Table2_2[[#This Row],[User_Rating]]&lt;4.164816,"Outlier","Normal")</f>
        <v>Normal</v>
      </c>
      <c r="E56">
        <v>4022</v>
      </c>
      <c r="F56" t="str">
        <f>IF(Table2_2[[#This Row],[Reviews]]&gt;$N$13,"Outlier"," Normal")</f>
        <v xml:space="preserve"> Normal</v>
      </c>
      <c r="G56">
        <v>4</v>
      </c>
      <c r="H56" t="str">
        <f>IF(Table2_2[[#This Row],[Price]]&gt;$N$20,"Outlier","Normal")</f>
        <v>Normal</v>
      </c>
      <c r="I56">
        <v>2015</v>
      </c>
      <c r="J56" t="str">
        <f>IF(Table2_2[[#This Row],[Year]]&gt;=2015,"Newer","Older")</f>
        <v>Newer</v>
      </c>
      <c r="K56" s="1" t="s">
        <v>8</v>
      </c>
    </row>
    <row r="57" spans="1:11" x14ac:dyDescent="0.35">
      <c r="A57" s="1" t="s">
        <v>96</v>
      </c>
      <c r="B57" s="1" t="s">
        <v>95</v>
      </c>
      <c r="C57">
        <v>4.8</v>
      </c>
      <c r="D57" t="str">
        <f>IF(Table2_2[[#This Row],[User_Rating]]&lt;4.164816,"Outlier","Normal")</f>
        <v>Normal</v>
      </c>
      <c r="E57">
        <v>3871</v>
      </c>
      <c r="F57" t="str">
        <f>IF(Table2_2[[#This Row],[Reviews]]&gt;$N$13,"Outlier"," Normal")</f>
        <v xml:space="preserve"> Normal</v>
      </c>
      <c r="G57">
        <v>5</v>
      </c>
      <c r="H57" t="str">
        <f>IF(Table2_2[[#This Row],[Price]]&gt;$N$20,"Outlier","Normal")</f>
        <v>Normal</v>
      </c>
      <c r="I57">
        <v>2015</v>
      </c>
      <c r="J57" t="str">
        <f>IF(Table2_2[[#This Row],[Year]]&gt;=2015,"Newer","Older")</f>
        <v>Newer</v>
      </c>
      <c r="K57" s="1" t="s">
        <v>8</v>
      </c>
    </row>
    <row r="58" spans="1:11" x14ac:dyDescent="0.35">
      <c r="A58" s="1" t="s">
        <v>97</v>
      </c>
      <c r="B58" s="1" t="s">
        <v>98</v>
      </c>
      <c r="C58">
        <v>4.5999999999999996</v>
      </c>
      <c r="D58" t="str">
        <f>IF(Table2_2[[#This Row],[User_Rating]]&lt;4.164816,"Outlier","Normal")</f>
        <v>Normal</v>
      </c>
      <c r="E58">
        <v>4866</v>
      </c>
      <c r="F58" t="str">
        <f>IF(Table2_2[[#This Row],[Reviews]]&gt;$N$13,"Outlier"," Normal")</f>
        <v xml:space="preserve"> Normal</v>
      </c>
      <c r="G58">
        <v>11</v>
      </c>
      <c r="H58" t="str">
        <f>IF(Table2_2[[#This Row],[Price]]&gt;$N$20,"Outlier","Normal")</f>
        <v>Normal</v>
      </c>
      <c r="I58">
        <v>2010</v>
      </c>
      <c r="J58" t="str">
        <f>IF(Table2_2[[#This Row],[Year]]&gt;=2015,"Newer","Older")</f>
        <v>Older</v>
      </c>
      <c r="K58" s="1" t="s">
        <v>11</v>
      </c>
    </row>
    <row r="59" spans="1:11" x14ac:dyDescent="0.35">
      <c r="A59" s="1" t="s">
        <v>97</v>
      </c>
      <c r="B59" s="1" t="s">
        <v>98</v>
      </c>
      <c r="C59">
        <v>4.5999999999999996</v>
      </c>
      <c r="D59" t="str">
        <f>IF(Table2_2[[#This Row],[User_Rating]]&lt;4.164816,"Outlier","Normal")</f>
        <v>Normal</v>
      </c>
      <c r="E59">
        <v>4866</v>
      </c>
      <c r="F59" t="str">
        <f>IF(Table2_2[[#This Row],[Reviews]]&gt;$N$13,"Outlier"," Normal")</f>
        <v xml:space="preserve"> Normal</v>
      </c>
      <c r="G59">
        <v>11</v>
      </c>
      <c r="H59" t="str">
        <f>IF(Table2_2[[#This Row],[Price]]&gt;$N$20,"Outlier","Normal")</f>
        <v>Normal</v>
      </c>
      <c r="I59">
        <v>2011</v>
      </c>
      <c r="J59" t="str">
        <f>IF(Table2_2[[#This Row],[Year]]&gt;=2015,"Newer","Older")</f>
        <v>Older</v>
      </c>
      <c r="K59" s="1" t="s">
        <v>11</v>
      </c>
    </row>
    <row r="60" spans="1:11" x14ac:dyDescent="0.35">
      <c r="A60" s="1" t="s">
        <v>99</v>
      </c>
      <c r="B60" s="1" t="s">
        <v>100</v>
      </c>
      <c r="C60">
        <v>4.8</v>
      </c>
      <c r="D60" t="str">
        <f>IF(Table2_2[[#This Row],[User_Rating]]&lt;4.164816,"Outlier","Normal")</f>
        <v>Normal</v>
      </c>
      <c r="E60">
        <v>1329</v>
      </c>
      <c r="F60" t="str">
        <f>IF(Table2_2[[#This Row],[Reviews]]&gt;$N$13,"Outlier"," Normal")</f>
        <v xml:space="preserve"> Normal</v>
      </c>
      <c r="G60">
        <v>10</v>
      </c>
      <c r="H60" t="str">
        <f>IF(Table2_2[[#This Row],[Price]]&gt;$N$20,"Outlier","Normal")</f>
        <v>Normal</v>
      </c>
      <c r="I60">
        <v>2013</v>
      </c>
      <c r="J60" t="str">
        <f>IF(Table2_2[[#This Row],[Year]]&gt;=2015,"Newer","Older")</f>
        <v>Older</v>
      </c>
      <c r="K60" s="1" t="s">
        <v>8</v>
      </c>
    </row>
    <row r="61" spans="1:11" x14ac:dyDescent="0.35">
      <c r="A61" s="1" t="s">
        <v>101</v>
      </c>
      <c r="B61" s="1" t="s">
        <v>102</v>
      </c>
      <c r="C61">
        <v>4.4000000000000004</v>
      </c>
      <c r="D61" t="str">
        <f>IF(Table2_2[[#This Row],[User_Rating]]&lt;4.164816,"Outlier","Normal")</f>
        <v>Normal</v>
      </c>
      <c r="E61">
        <v>4642</v>
      </c>
      <c r="F61" t="str">
        <f>IF(Table2_2[[#This Row],[Reviews]]&gt;$N$13,"Outlier"," Normal")</f>
        <v xml:space="preserve"> Normal</v>
      </c>
      <c r="G61">
        <v>13</v>
      </c>
      <c r="H61" t="str">
        <f>IF(Table2_2[[#This Row],[Price]]&gt;$N$20,"Outlier","Normal")</f>
        <v>Normal</v>
      </c>
      <c r="I61">
        <v>2013</v>
      </c>
      <c r="J61" t="str">
        <f>IF(Table2_2[[#This Row],[Year]]&gt;=2015,"Newer","Older")</f>
        <v>Older</v>
      </c>
      <c r="K61" s="1" t="s">
        <v>8</v>
      </c>
    </row>
    <row r="62" spans="1:11" x14ac:dyDescent="0.35">
      <c r="A62" s="1" t="s">
        <v>103</v>
      </c>
      <c r="B62" s="1" t="s">
        <v>104</v>
      </c>
      <c r="C62">
        <v>4.5999999999999996</v>
      </c>
      <c r="D62" t="str">
        <f>IF(Table2_2[[#This Row],[User_Rating]]&lt;4.164816,"Outlier","Normal")</f>
        <v>Normal</v>
      </c>
      <c r="E62">
        <v>1541</v>
      </c>
      <c r="F62" t="str">
        <f>IF(Table2_2[[#This Row],[Reviews]]&gt;$N$13,"Outlier"," Normal")</f>
        <v xml:space="preserve"> Normal</v>
      </c>
      <c r="G62">
        <v>4</v>
      </c>
      <c r="H62" t="str">
        <f>IF(Table2_2[[#This Row],[Price]]&gt;$N$20,"Outlier","Normal")</f>
        <v>Normal</v>
      </c>
      <c r="I62">
        <v>2009</v>
      </c>
      <c r="J62" t="str">
        <f>IF(Table2_2[[#This Row],[Year]]&gt;=2015,"Newer","Older")</f>
        <v>Older</v>
      </c>
      <c r="K62" s="1" t="s">
        <v>11</v>
      </c>
    </row>
    <row r="63" spans="1:11" x14ac:dyDescent="0.35">
      <c r="A63" s="1" t="s">
        <v>105</v>
      </c>
      <c r="B63" s="1" t="s">
        <v>104</v>
      </c>
      <c r="C63">
        <v>4.3</v>
      </c>
      <c r="D63" t="str">
        <f>IF(Table2_2[[#This Row],[User_Rating]]&lt;4.164816,"Outlier","Normal")</f>
        <v>Normal</v>
      </c>
      <c r="E63">
        <v>1924</v>
      </c>
      <c r="F63" t="str">
        <f>IF(Table2_2[[#This Row],[Reviews]]&gt;$N$13,"Outlier"," Normal")</f>
        <v xml:space="preserve"> Normal</v>
      </c>
      <c r="G63">
        <v>8</v>
      </c>
      <c r="H63" t="str">
        <f>IF(Table2_2[[#This Row],[Price]]&gt;$N$20,"Outlier","Normal")</f>
        <v>Normal</v>
      </c>
      <c r="I63">
        <v>2010</v>
      </c>
      <c r="J63" t="str">
        <f>IF(Table2_2[[#This Row],[Year]]&gt;=2015,"Newer","Older")</f>
        <v>Older</v>
      </c>
      <c r="K63" s="1" t="s">
        <v>11</v>
      </c>
    </row>
    <row r="64" spans="1:11" x14ac:dyDescent="0.35">
      <c r="A64" s="1" t="s">
        <v>106</v>
      </c>
      <c r="B64" s="1" t="s">
        <v>104</v>
      </c>
      <c r="C64">
        <v>4.2</v>
      </c>
      <c r="D64" t="str">
        <f>IF(Table2_2[[#This Row],[User_Rating]]&lt;4.164816,"Outlier","Normal")</f>
        <v>Normal</v>
      </c>
      <c r="E64">
        <v>2094</v>
      </c>
      <c r="F64" t="str">
        <f>IF(Table2_2[[#This Row],[Reviews]]&gt;$N$13,"Outlier"," Normal")</f>
        <v xml:space="preserve"> Normal</v>
      </c>
      <c r="G64">
        <v>4</v>
      </c>
      <c r="H64" t="str">
        <f>IF(Table2_2[[#This Row],[Price]]&gt;$N$20,"Outlier","Normal")</f>
        <v>Normal</v>
      </c>
      <c r="I64">
        <v>2011</v>
      </c>
      <c r="J64" t="str">
        <f>IF(Table2_2[[#This Row],[Year]]&gt;=2015,"Newer","Older")</f>
        <v>Older</v>
      </c>
      <c r="K64" s="1" t="s">
        <v>11</v>
      </c>
    </row>
    <row r="65" spans="1:11" x14ac:dyDescent="0.35">
      <c r="A65" s="1" t="s">
        <v>107</v>
      </c>
      <c r="B65" s="1" t="s">
        <v>108</v>
      </c>
      <c r="C65">
        <v>4.8</v>
      </c>
      <c r="D65" t="str">
        <f>IF(Table2_2[[#This Row],[User_Rating]]&lt;4.164816,"Outlier","Normal")</f>
        <v>Normal</v>
      </c>
      <c r="E65">
        <v>10922</v>
      </c>
      <c r="F65" t="str">
        <f>IF(Table2_2[[#This Row],[Reviews]]&gt;$N$13,"Outlier"," Normal")</f>
        <v xml:space="preserve"> Normal</v>
      </c>
      <c r="G65">
        <v>5</v>
      </c>
      <c r="H65" t="str">
        <f>IF(Table2_2[[#This Row],[Price]]&gt;$N$20,"Outlier","Normal")</f>
        <v>Normal</v>
      </c>
      <c r="I65">
        <v>2015</v>
      </c>
      <c r="J65" t="str">
        <f>IF(Table2_2[[#This Row],[Year]]&gt;=2015,"Newer","Older")</f>
        <v>Newer</v>
      </c>
      <c r="K65" s="1" t="s">
        <v>11</v>
      </c>
    </row>
    <row r="66" spans="1:11" x14ac:dyDescent="0.35">
      <c r="A66" s="1" t="s">
        <v>107</v>
      </c>
      <c r="B66" s="1" t="s">
        <v>108</v>
      </c>
      <c r="C66">
        <v>4.8</v>
      </c>
      <c r="D66" t="str">
        <f>IF(Table2_2[[#This Row],[User_Rating]]&lt;4.164816,"Outlier","Normal")</f>
        <v>Normal</v>
      </c>
      <c r="E66">
        <v>10922</v>
      </c>
      <c r="F66" t="str">
        <f>IF(Table2_2[[#This Row],[Reviews]]&gt;$N$13,"Outlier"," Normal")</f>
        <v xml:space="preserve"> Normal</v>
      </c>
      <c r="G66">
        <v>5</v>
      </c>
      <c r="H66" t="str">
        <f>IF(Table2_2[[#This Row],[Price]]&gt;$N$20,"Outlier","Normal")</f>
        <v>Normal</v>
      </c>
      <c r="I66">
        <v>2016</v>
      </c>
      <c r="J66" t="str">
        <f>IF(Table2_2[[#This Row],[Year]]&gt;=2015,"Newer","Older")</f>
        <v>Newer</v>
      </c>
      <c r="K66" s="1" t="s">
        <v>11</v>
      </c>
    </row>
    <row r="67" spans="1:11" x14ac:dyDescent="0.35">
      <c r="A67" s="1" t="s">
        <v>107</v>
      </c>
      <c r="B67" s="1" t="s">
        <v>108</v>
      </c>
      <c r="C67">
        <v>4.8</v>
      </c>
      <c r="D67" t="str">
        <f>IF(Table2_2[[#This Row],[User_Rating]]&lt;4.164816,"Outlier","Normal")</f>
        <v>Normal</v>
      </c>
      <c r="E67">
        <v>10922</v>
      </c>
      <c r="F67" t="str">
        <f>IF(Table2_2[[#This Row],[Reviews]]&gt;$N$13,"Outlier"," Normal")</f>
        <v xml:space="preserve"> Normal</v>
      </c>
      <c r="G67">
        <v>5</v>
      </c>
      <c r="H67" t="str">
        <f>IF(Table2_2[[#This Row],[Price]]&gt;$N$20,"Outlier","Normal")</f>
        <v>Normal</v>
      </c>
      <c r="I67">
        <v>2017</v>
      </c>
      <c r="J67" t="str">
        <f>IF(Table2_2[[#This Row],[Year]]&gt;=2015,"Newer","Older")</f>
        <v>Newer</v>
      </c>
      <c r="K67" s="1" t="s">
        <v>11</v>
      </c>
    </row>
    <row r="68" spans="1:11" x14ac:dyDescent="0.35">
      <c r="A68" s="1" t="s">
        <v>107</v>
      </c>
      <c r="B68" s="1" t="s">
        <v>108</v>
      </c>
      <c r="C68">
        <v>4.8</v>
      </c>
      <c r="D68" t="str">
        <f>IF(Table2_2[[#This Row],[User_Rating]]&lt;4.164816,"Outlier","Normal")</f>
        <v>Normal</v>
      </c>
      <c r="E68">
        <v>10922</v>
      </c>
      <c r="F68" t="str">
        <f>IF(Table2_2[[#This Row],[Reviews]]&gt;$N$13,"Outlier"," Normal")</f>
        <v xml:space="preserve"> Normal</v>
      </c>
      <c r="G68">
        <v>5</v>
      </c>
      <c r="H68" t="str">
        <f>IF(Table2_2[[#This Row],[Price]]&gt;$N$20,"Outlier","Normal")</f>
        <v>Normal</v>
      </c>
      <c r="I68">
        <v>2018</v>
      </c>
      <c r="J68" t="str">
        <f>IF(Table2_2[[#This Row],[Year]]&gt;=2015,"Newer","Older")</f>
        <v>Newer</v>
      </c>
      <c r="K68" s="1" t="s">
        <v>11</v>
      </c>
    </row>
    <row r="69" spans="1:11" x14ac:dyDescent="0.35">
      <c r="A69" s="1" t="s">
        <v>109</v>
      </c>
      <c r="B69" s="1" t="s">
        <v>110</v>
      </c>
      <c r="C69">
        <v>4.5999999999999996</v>
      </c>
      <c r="D69" t="str">
        <f>IF(Table2_2[[#This Row],[User_Rating]]&lt;4.164816,"Outlier","Normal")</f>
        <v>Normal</v>
      </c>
      <c r="E69">
        <v>2137</v>
      </c>
      <c r="F69" t="str">
        <f>IF(Table2_2[[#This Row],[Reviews]]&gt;$N$13,"Outlier"," Normal")</f>
        <v xml:space="preserve"> Normal</v>
      </c>
      <c r="G69">
        <v>17</v>
      </c>
      <c r="H69" t="str">
        <f>IF(Table2_2[[#This Row],[Price]]&gt;$N$20,"Outlier","Normal")</f>
        <v>Normal</v>
      </c>
      <c r="I69">
        <v>2010</v>
      </c>
      <c r="J69" t="str">
        <f>IF(Table2_2[[#This Row],[Year]]&gt;=2015,"Newer","Older")</f>
        <v>Older</v>
      </c>
      <c r="K69" s="1" t="s">
        <v>8</v>
      </c>
    </row>
    <row r="70" spans="1:11" x14ac:dyDescent="0.35">
      <c r="A70" s="1" t="s">
        <v>111</v>
      </c>
      <c r="B70" s="1" t="s">
        <v>112</v>
      </c>
      <c r="C70">
        <v>4.5999999999999996</v>
      </c>
      <c r="D70" t="str">
        <f>IF(Table2_2[[#This Row],[User_Rating]]&lt;4.164816,"Outlier","Normal")</f>
        <v>Normal</v>
      </c>
      <c r="E70">
        <v>1651</v>
      </c>
      <c r="F70" t="str">
        <f>IF(Table2_2[[#This Row],[Reviews]]&gt;$N$13,"Outlier"," Normal")</f>
        <v xml:space="preserve"> Normal</v>
      </c>
      <c r="G70">
        <v>15</v>
      </c>
      <c r="H70" t="str">
        <f>IF(Table2_2[[#This Row],[Price]]&gt;$N$20,"Outlier","Normal")</f>
        <v>Normal</v>
      </c>
      <c r="I70">
        <v>2010</v>
      </c>
      <c r="J70" t="str">
        <f>IF(Table2_2[[#This Row],[Year]]&gt;=2015,"Newer","Older")</f>
        <v>Older</v>
      </c>
      <c r="K70" s="1" t="s">
        <v>8</v>
      </c>
    </row>
    <row r="71" spans="1:11" x14ac:dyDescent="0.35">
      <c r="A71" s="1" t="s">
        <v>113</v>
      </c>
      <c r="B71" s="1" t="s">
        <v>114</v>
      </c>
      <c r="C71">
        <v>4.5</v>
      </c>
      <c r="D71" t="str">
        <f>IF(Table2_2[[#This Row],[User_Rating]]&lt;4.164816,"Outlier","Normal")</f>
        <v>Normal</v>
      </c>
      <c r="E71">
        <v>6679</v>
      </c>
      <c r="F71" t="str">
        <f>IF(Table2_2[[#This Row],[Reviews]]&gt;$N$13,"Outlier"," Normal")</f>
        <v xml:space="preserve"> Normal</v>
      </c>
      <c r="G71">
        <v>105</v>
      </c>
      <c r="H71" t="str">
        <f>IF(Table2_2[[#This Row],[Price]]&gt;$N$20,"Outlier","Normal")</f>
        <v>Outlier</v>
      </c>
      <c r="I71">
        <v>2013</v>
      </c>
      <c r="J71" t="str">
        <f>IF(Table2_2[[#This Row],[Year]]&gt;=2015,"Newer","Older")</f>
        <v>Older</v>
      </c>
      <c r="K71" s="1" t="s">
        <v>8</v>
      </c>
    </row>
    <row r="72" spans="1:11" x14ac:dyDescent="0.35">
      <c r="A72" s="1" t="s">
        <v>113</v>
      </c>
      <c r="B72" s="1" t="s">
        <v>114</v>
      </c>
      <c r="C72">
        <v>4.5</v>
      </c>
      <c r="D72" t="str">
        <f>IF(Table2_2[[#This Row],[User_Rating]]&lt;4.164816,"Outlier","Normal")</f>
        <v>Normal</v>
      </c>
      <c r="E72">
        <v>6679</v>
      </c>
      <c r="F72" t="str">
        <f>IF(Table2_2[[#This Row],[Reviews]]&gt;$N$13,"Outlier"," Normal")</f>
        <v xml:space="preserve"> Normal</v>
      </c>
      <c r="G72">
        <v>105</v>
      </c>
      <c r="H72" t="str">
        <f>IF(Table2_2[[#This Row],[Price]]&gt;$N$20,"Outlier","Normal")</f>
        <v>Outlier</v>
      </c>
      <c r="I72">
        <v>2014</v>
      </c>
      <c r="J72" t="str">
        <f>IF(Table2_2[[#This Row],[Year]]&gt;=2015,"Newer","Older")</f>
        <v>Older</v>
      </c>
      <c r="K72" s="1" t="s">
        <v>8</v>
      </c>
    </row>
    <row r="73" spans="1:11" x14ac:dyDescent="0.35">
      <c r="A73" s="1" t="s">
        <v>115</v>
      </c>
      <c r="B73" s="1" t="s">
        <v>79</v>
      </c>
      <c r="C73">
        <v>4.8</v>
      </c>
      <c r="D73" t="str">
        <f>IF(Table2_2[[#This Row],[User_Rating]]&lt;4.164816,"Outlier","Normal")</f>
        <v>Normal</v>
      </c>
      <c r="E73">
        <v>6812</v>
      </c>
      <c r="F73" t="str">
        <f>IF(Table2_2[[#This Row],[Reviews]]&gt;$N$13,"Outlier"," Normal")</f>
        <v xml:space="preserve"> Normal</v>
      </c>
      <c r="G73">
        <v>0</v>
      </c>
      <c r="H73" t="str">
        <f>IF(Table2_2[[#This Row],[Price]]&gt;$N$20,"Outlier","Normal")</f>
        <v>Normal</v>
      </c>
      <c r="I73">
        <v>2013</v>
      </c>
      <c r="J73" t="str">
        <f>IF(Table2_2[[#This Row],[Year]]&gt;=2015,"Newer","Older")</f>
        <v>Older</v>
      </c>
      <c r="K73" s="1" t="s">
        <v>11</v>
      </c>
    </row>
    <row r="74" spans="1:11" x14ac:dyDescent="0.35">
      <c r="A74" s="1" t="s">
        <v>116</v>
      </c>
      <c r="B74" s="1" t="s">
        <v>79</v>
      </c>
      <c r="C74">
        <v>4.8</v>
      </c>
      <c r="D74" t="str">
        <f>IF(Table2_2[[#This Row],[User_Rating]]&lt;4.164816,"Outlier","Normal")</f>
        <v>Normal</v>
      </c>
      <c r="E74">
        <v>3837</v>
      </c>
      <c r="F74" t="str">
        <f>IF(Table2_2[[#This Row],[Reviews]]&gt;$N$13,"Outlier"," Normal")</f>
        <v xml:space="preserve"> Normal</v>
      </c>
      <c r="G74">
        <v>15</v>
      </c>
      <c r="H74" t="str">
        <f>IF(Table2_2[[#This Row],[Price]]&gt;$N$20,"Outlier","Normal")</f>
        <v>Normal</v>
      </c>
      <c r="I74">
        <v>2009</v>
      </c>
      <c r="J74" t="str">
        <f>IF(Table2_2[[#This Row],[Year]]&gt;=2015,"Newer","Older")</f>
        <v>Older</v>
      </c>
      <c r="K74" s="1" t="s">
        <v>11</v>
      </c>
    </row>
    <row r="75" spans="1:11" x14ac:dyDescent="0.35">
      <c r="A75" s="1" t="s">
        <v>117</v>
      </c>
      <c r="B75" s="1" t="s">
        <v>79</v>
      </c>
      <c r="C75">
        <v>4.8</v>
      </c>
      <c r="D75" t="str">
        <f>IF(Table2_2[[#This Row],[User_Rating]]&lt;4.164816,"Outlier","Normal")</f>
        <v>Normal</v>
      </c>
      <c r="E75">
        <v>6540</v>
      </c>
      <c r="F75" t="str">
        <f>IF(Table2_2[[#This Row],[Reviews]]&gt;$N$13,"Outlier"," Normal")</f>
        <v xml:space="preserve"> Normal</v>
      </c>
      <c r="G75">
        <v>22</v>
      </c>
      <c r="H75" t="str">
        <f>IF(Table2_2[[#This Row],[Price]]&gt;$N$20,"Outlier","Normal")</f>
        <v>Normal</v>
      </c>
      <c r="I75">
        <v>2014</v>
      </c>
      <c r="J75" t="str">
        <f>IF(Table2_2[[#This Row],[Year]]&gt;=2015,"Newer","Older")</f>
        <v>Older</v>
      </c>
      <c r="K75" s="1" t="s">
        <v>11</v>
      </c>
    </row>
    <row r="76" spans="1:11" x14ac:dyDescent="0.35">
      <c r="A76" s="1" t="s">
        <v>118</v>
      </c>
      <c r="B76" s="1" t="s">
        <v>119</v>
      </c>
      <c r="C76">
        <v>4.5999999999999996</v>
      </c>
      <c r="D76" t="str">
        <f>IF(Table2_2[[#This Row],[User_Rating]]&lt;4.164816,"Outlier","Normal")</f>
        <v>Normal</v>
      </c>
      <c r="E76">
        <v>7955</v>
      </c>
      <c r="F76" t="str">
        <f>IF(Table2_2[[#This Row],[Reviews]]&gt;$N$13,"Outlier"," Normal")</f>
        <v xml:space="preserve"> Normal</v>
      </c>
      <c r="G76">
        <v>5</v>
      </c>
      <c r="H76" t="str">
        <f>IF(Table2_2[[#This Row],[Price]]&gt;$N$20,"Outlier","Normal")</f>
        <v>Normal</v>
      </c>
      <c r="I76">
        <v>2019</v>
      </c>
      <c r="J76" t="str">
        <f>IF(Table2_2[[#This Row],[Year]]&gt;=2015,"Newer","Older")</f>
        <v>Newer</v>
      </c>
      <c r="K76" s="1" t="s">
        <v>8</v>
      </c>
    </row>
    <row r="77" spans="1:11" x14ac:dyDescent="0.35">
      <c r="A77" s="1" t="s">
        <v>120</v>
      </c>
      <c r="B77" s="1" t="s">
        <v>47</v>
      </c>
      <c r="C77">
        <v>4.5999999999999996</v>
      </c>
      <c r="D77" t="str">
        <f>IF(Table2_2[[#This Row],[User_Rating]]&lt;4.164816,"Outlier","Normal")</f>
        <v>Normal</v>
      </c>
      <c r="E77">
        <v>27098</v>
      </c>
      <c r="F77" t="str">
        <f>IF(Table2_2[[#This Row],[Reviews]]&gt;$N$13,"Outlier"," Normal")</f>
        <v xml:space="preserve"> Normal</v>
      </c>
      <c r="G77">
        <v>15</v>
      </c>
      <c r="H77" t="str">
        <f>IF(Table2_2[[#This Row],[Price]]&gt;$N$20,"Outlier","Normal")</f>
        <v>Normal</v>
      </c>
      <c r="I77">
        <v>2013</v>
      </c>
      <c r="J77" t="str">
        <f>IF(Table2_2[[#This Row],[Year]]&gt;=2015,"Newer","Older")</f>
        <v>Older</v>
      </c>
      <c r="K77" s="1" t="s">
        <v>11</v>
      </c>
    </row>
    <row r="78" spans="1:11" x14ac:dyDescent="0.35">
      <c r="A78" s="1" t="s">
        <v>120</v>
      </c>
      <c r="B78" s="1" t="s">
        <v>47</v>
      </c>
      <c r="C78">
        <v>4.5999999999999996</v>
      </c>
      <c r="D78" t="str">
        <f>IF(Table2_2[[#This Row],[User_Rating]]&lt;4.164816,"Outlier","Normal")</f>
        <v>Normal</v>
      </c>
      <c r="E78">
        <v>27098</v>
      </c>
      <c r="F78" t="str">
        <f>IF(Table2_2[[#This Row],[Reviews]]&gt;$N$13,"Outlier"," Normal")</f>
        <v xml:space="preserve"> Normal</v>
      </c>
      <c r="G78">
        <v>15</v>
      </c>
      <c r="H78" t="str">
        <f>IF(Table2_2[[#This Row],[Price]]&gt;$N$20,"Outlier","Normal")</f>
        <v>Normal</v>
      </c>
      <c r="I78">
        <v>2014</v>
      </c>
      <c r="J78" t="str">
        <f>IF(Table2_2[[#This Row],[Year]]&gt;=2015,"Newer","Older")</f>
        <v>Older</v>
      </c>
      <c r="K78" s="1" t="s">
        <v>11</v>
      </c>
    </row>
    <row r="79" spans="1:11" x14ac:dyDescent="0.35">
      <c r="A79" s="1" t="s">
        <v>121</v>
      </c>
      <c r="B79" s="1" t="s">
        <v>47</v>
      </c>
      <c r="C79">
        <v>4.5</v>
      </c>
      <c r="D79" t="str">
        <f>IF(Table2_2[[#This Row],[User_Rating]]&lt;4.164816,"Outlier","Normal")</f>
        <v>Normal</v>
      </c>
      <c r="E79">
        <v>17684</v>
      </c>
      <c r="F79" t="str">
        <f>IF(Table2_2[[#This Row],[Reviews]]&gt;$N$13,"Outlier"," Normal")</f>
        <v xml:space="preserve"> Normal</v>
      </c>
      <c r="G79">
        <v>6</v>
      </c>
      <c r="H79" t="str">
        <f>IF(Table2_2[[#This Row],[Price]]&gt;$N$20,"Outlier","Normal")</f>
        <v>Normal</v>
      </c>
      <c r="I79">
        <v>2014</v>
      </c>
      <c r="J79" t="str">
        <f>IF(Table2_2[[#This Row],[Year]]&gt;=2015,"Newer","Older")</f>
        <v>Older</v>
      </c>
      <c r="K79" s="1" t="s">
        <v>11</v>
      </c>
    </row>
    <row r="80" spans="1:11" x14ac:dyDescent="0.35">
      <c r="A80" s="1" t="s">
        <v>122</v>
      </c>
      <c r="B80" s="1" t="s">
        <v>123</v>
      </c>
      <c r="C80">
        <v>4.5999999999999996</v>
      </c>
      <c r="D80" t="str">
        <f>IF(Table2_2[[#This Row],[User_Rating]]&lt;4.164816,"Outlier","Normal")</f>
        <v>Normal</v>
      </c>
      <c r="E80">
        <v>37</v>
      </c>
      <c r="F80" t="str">
        <f>IF(Table2_2[[#This Row],[Reviews]]&gt;$N$13,"Outlier"," Normal")</f>
        <v xml:space="preserve"> Normal</v>
      </c>
      <c r="G80">
        <v>6</v>
      </c>
      <c r="H80" t="str">
        <f>IF(Table2_2[[#This Row],[Price]]&gt;$N$20,"Outlier","Normal")</f>
        <v>Normal</v>
      </c>
      <c r="I80">
        <v>2009</v>
      </c>
      <c r="J80" t="str">
        <f>IF(Table2_2[[#This Row],[Year]]&gt;=2015,"Newer","Older")</f>
        <v>Older</v>
      </c>
      <c r="K80" s="1" t="s">
        <v>8</v>
      </c>
    </row>
    <row r="81" spans="1:11" x14ac:dyDescent="0.35">
      <c r="A81" s="1" t="s">
        <v>124</v>
      </c>
      <c r="B81" s="1" t="s">
        <v>10</v>
      </c>
      <c r="C81">
        <v>4.7</v>
      </c>
      <c r="D81" t="str">
        <f>IF(Table2_2[[#This Row],[User_Rating]]&lt;4.164816,"Outlier","Normal")</f>
        <v>Normal</v>
      </c>
      <c r="E81">
        <v>15845</v>
      </c>
      <c r="F81" t="str">
        <f>IF(Table2_2[[#This Row],[Reviews]]&gt;$N$13,"Outlier"," Normal")</f>
        <v xml:space="preserve"> Normal</v>
      </c>
      <c r="G81">
        <v>13</v>
      </c>
      <c r="H81" t="str">
        <f>IF(Table2_2[[#This Row],[Price]]&gt;$N$20,"Outlier","Normal")</f>
        <v>Normal</v>
      </c>
      <c r="I81">
        <v>2013</v>
      </c>
      <c r="J81" t="str">
        <f>IF(Table2_2[[#This Row],[Year]]&gt;=2015,"Newer","Older")</f>
        <v>Older</v>
      </c>
      <c r="K81" s="1" t="s">
        <v>11</v>
      </c>
    </row>
    <row r="82" spans="1:11" x14ac:dyDescent="0.35">
      <c r="A82" s="1" t="s">
        <v>125</v>
      </c>
      <c r="B82" s="1" t="s">
        <v>79</v>
      </c>
      <c r="C82">
        <v>4.8</v>
      </c>
      <c r="D82" t="str">
        <f>IF(Table2_2[[#This Row],[User_Rating]]&lt;4.164816,"Outlier","Normal")</f>
        <v>Normal</v>
      </c>
      <c r="E82">
        <v>3181</v>
      </c>
      <c r="F82" t="str">
        <f>IF(Table2_2[[#This Row],[Reviews]]&gt;$N$13,"Outlier"," Normal")</f>
        <v xml:space="preserve"> Normal</v>
      </c>
      <c r="G82">
        <v>12</v>
      </c>
      <c r="H82" t="str">
        <f>IF(Table2_2[[#This Row],[Price]]&gt;$N$20,"Outlier","Normal")</f>
        <v>Normal</v>
      </c>
      <c r="I82">
        <v>2009</v>
      </c>
      <c r="J82" t="str">
        <f>IF(Table2_2[[#This Row],[Year]]&gt;=2015,"Newer","Older")</f>
        <v>Older</v>
      </c>
      <c r="K82" s="1" t="s">
        <v>11</v>
      </c>
    </row>
    <row r="83" spans="1:11" x14ac:dyDescent="0.35">
      <c r="A83" s="1" t="s">
        <v>126</v>
      </c>
      <c r="B83" s="1" t="s">
        <v>127</v>
      </c>
      <c r="C83">
        <v>4.9000000000000004</v>
      </c>
      <c r="D83" t="str">
        <f>IF(Table2_2[[#This Row],[User_Rating]]&lt;4.164816,"Outlier","Normal")</f>
        <v>Normal</v>
      </c>
      <c r="E83">
        <v>5062</v>
      </c>
      <c r="F83" t="str">
        <f>IF(Table2_2[[#This Row],[Reviews]]&gt;$N$13,"Outlier"," Normal")</f>
        <v xml:space="preserve"> Normal</v>
      </c>
      <c r="G83">
        <v>6</v>
      </c>
      <c r="H83" t="str">
        <f>IF(Table2_2[[#This Row],[Price]]&gt;$N$20,"Outlier","Normal")</f>
        <v>Normal</v>
      </c>
      <c r="I83">
        <v>2018</v>
      </c>
      <c r="J83" t="str">
        <f>IF(Table2_2[[#This Row],[Year]]&gt;=2015,"Newer","Older")</f>
        <v>Newer</v>
      </c>
      <c r="K83" s="1" t="s">
        <v>11</v>
      </c>
    </row>
    <row r="84" spans="1:11" x14ac:dyDescent="0.35">
      <c r="A84" s="1" t="s">
        <v>128</v>
      </c>
      <c r="B84" s="1" t="s">
        <v>127</v>
      </c>
      <c r="C84">
        <v>4.9000000000000004</v>
      </c>
      <c r="D84" t="str">
        <f>IF(Table2_2[[#This Row],[User_Rating]]&lt;4.164816,"Outlier","Normal")</f>
        <v>Normal</v>
      </c>
      <c r="E84">
        <v>4786</v>
      </c>
      <c r="F84" t="str">
        <f>IF(Table2_2[[#This Row],[Reviews]]&gt;$N$13,"Outlier"," Normal")</f>
        <v xml:space="preserve"> Normal</v>
      </c>
      <c r="G84">
        <v>8</v>
      </c>
      <c r="H84" t="str">
        <f>IF(Table2_2[[#This Row],[Price]]&gt;$N$20,"Outlier","Normal")</f>
        <v>Normal</v>
      </c>
      <c r="I84">
        <v>2017</v>
      </c>
      <c r="J84" t="str">
        <f>IF(Table2_2[[#This Row],[Year]]&gt;=2015,"Newer","Older")</f>
        <v>Newer</v>
      </c>
      <c r="K84" s="1" t="s">
        <v>11</v>
      </c>
    </row>
    <row r="85" spans="1:11" x14ac:dyDescent="0.35">
      <c r="A85" s="1" t="s">
        <v>129</v>
      </c>
      <c r="B85" s="1" t="s">
        <v>127</v>
      </c>
      <c r="C85">
        <v>4.9000000000000004</v>
      </c>
      <c r="D85" t="str">
        <f>IF(Table2_2[[#This Row],[User_Rating]]&lt;4.164816,"Outlier","Normal")</f>
        <v>Normal</v>
      </c>
      <c r="E85">
        <v>7235</v>
      </c>
      <c r="F85" t="str">
        <f>IF(Table2_2[[#This Row],[Reviews]]&gt;$N$13,"Outlier"," Normal")</f>
        <v xml:space="preserve"> Normal</v>
      </c>
      <c r="G85">
        <v>4</v>
      </c>
      <c r="H85" t="str">
        <f>IF(Table2_2[[#This Row],[Price]]&gt;$N$20,"Outlier","Normal")</f>
        <v>Normal</v>
      </c>
      <c r="I85">
        <v>2018</v>
      </c>
      <c r="J85" t="str">
        <f>IF(Table2_2[[#This Row],[Year]]&gt;=2015,"Newer","Older")</f>
        <v>Newer</v>
      </c>
      <c r="K85" s="1" t="s">
        <v>11</v>
      </c>
    </row>
    <row r="86" spans="1:11" x14ac:dyDescent="0.35">
      <c r="A86" s="1" t="s">
        <v>129</v>
      </c>
      <c r="B86" s="1" t="s">
        <v>127</v>
      </c>
      <c r="C86">
        <v>4.9000000000000004</v>
      </c>
      <c r="D86" t="str">
        <f>IF(Table2_2[[#This Row],[User_Rating]]&lt;4.164816,"Outlier","Normal")</f>
        <v>Normal</v>
      </c>
      <c r="E86">
        <v>7235</v>
      </c>
      <c r="F86" t="str">
        <f>IF(Table2_2[[#This Row],[Reviews]]&gt;$N$13,"Outlier"," Normal")</f>
        <v xml:space="preserve"> Normal</v>
      </c>
      <c r="G86">
        <v>4</v>
      </c>
      <c r="H86" t="str">
        <f>IF(Table2_2[[#This Row],[Price]]&gt;$N$20,"Outlier","Normal")</f>
        <v>Normal</v>
      </c>
      <c r="I86">
        <v>2019</v>
      </c>
      <c r="J86" t="str">
        <f>IF(Table2_2[[#This Row],[Year]]&gt;=2015,"Newer","Older")</f>
        <v>Newer</v>
      </c>
      <c r="K86" s="1" t="s">
        <v>11</v>
      </c>
    </row>
    <row r="87" spans="1:11" x14ac:dyDescent="0.35">
      <c r="A87" s="1" t="s">
        <v>130</v>
      </c>
      <c r="B87" s="1" t="s">
        <v>127</v>
      </c>
      <c r="C87">
        <v>4.9000000000000004</v>
      </c>
      <c r="D87" t="str">
        <f>IF(Table2_2[[#This Row],[User_Rating]]&lt;4.164816,"Outlier","Normal")</f>
        <v>Normal</v>
      </c>
      <c r="E87">
        <v>12619</v>
      </c>
      <c r="F87" t="str">
        <f>IF(Table2_2[[#This Row],[Reviews]]&gt;$N$13,"Outlier"," Normal")</f>
        <v xml:space="preserve"> Normal</v>
      </c>
      <c r="G87">
        <v>8</v>
      </c>
      <c r="H87" t="str">
        <f>IF(Table2_2[[#This Row],[Price]]&gt;$N$20,"Outlier","Normal")</f>
        <v>Normal</v>
      </c>
      <c r="I87">
        <v>2019</v>
      </c>
      <c r="J87" t="str">
        <f>IF(Table2_2[[#This Row],[Year]]&gt;=2015,"Newer","Older")</f>
        <v>Newer</v>
      </c>
      <c r="K87" s="1" t="s">
        <v>11</v>
      </c>
    </row>
    <row r="88" spans="1:11" x14ac:dyDescent="0.35">
      <c r="A88" s="1" t="s">
        <v>131</v>
      </c>
      <c r="B88" s="1" t="s">
        <v>127</v>
      </c>
      <c r="C88">
        <v>4.9000000000000004</v>
      </c>
      <c r="D88" t="str">
        <f>IF(Table2_2[[#This Row],[User_Rating]]&lt;4.164816,"Outlier","Normal")</f>
        <v>Normal</v>
      </c>
      <c r="E88">
        <v>9089</v>
      </c>
      <c r="F88" t="str">
        <f>IF(Table2_2[[#This Row],[Reviews]]&gt;$N$13,"Outlier"," Normal")</f>
        <v xml:space="preserve"> Normal</v>
      </c>
      <c r="G88">
        <v>8</v>
      </c>
      <c r="H88" t="str">
        <f>IF(Table2_2[[#This Row],[Price]]&gt;$N$20,"Outlier","Normal")</f>
        <v>Normal</v>
      </c>
      <c r="I88">
        <v>2019</v>
      </c>
      <c r="J88" t="str">
        <f>IF(Table2_2[[#This Row],[Year]]&gt;=2015,"Newer","Older")</f>
        <v>Newer</v>
      </c>
      <c r="K88" s="1" t="s">
        <v>11</v>
      </c>
    </row>
    <row r="89" spans="1:11" x14ac:dyDescent="0.35">
      <c r="A89" s="1" t="s">
        <v>132</v>
      </c>
      <c r="B89" s="1" t="s">
        <v>127</v>
      </c>
      <c r="C89">
        <v>4.9000000000000004</v>
      </c>
      <c r="D89" t="str">
        <f>IF(Table2_2[[#This Row],[User_Rating]]&lt;4.164816,"Outlier","Normal")</f>
        <v>Normal</v>
      </c>
      <c r="E89">
        <v>5470</v>
      </c>
      <c r="F89" t="str">
        <f>IF(Table2_2[[#This Row],[Reviews]]&gt;$N$13,"Outlier"," Normal")</f>
        <v xml:space="preserve"> Normal</v>
      </c>
      <c r="G89">
        <v>6</v>
      </c>
      <c r="H89" t="str">
        <f>IF(Table2_2[[#This Row],[Price]]&gt;$N$20,"Outlier","Normal")</f>
        <v>Normal</v>
      </c>
      <c r="I89">
        <v>2018</v>
      </c>
      <c r="J89" t="str">
        <f>IF(Table2_2[[#This Row],[Year]]&gt;=2015,"Newer","Older")</f>
        <v>Newer</v>
      </c>
      <c r="K89" s="1" t="s">
        <v>11</v>
      </c>
    </row>
    <row r="90" spans="1:11" x14ac:dyDescent="0.35">
      <c r="A90" s="1" t="s">
        <v>133</v>
      </c>
      <c r="B90" s="1" t="s">
        <v>79</v>
      </c>
      <c r="C90">
        <v>4.8</v>
      </c>
      <c r="D90" t="str">
        <f>IF(Table2_2[[#This Row],[User_Rating]]&lt;4.164816,"Outlier","Normal")</f>
        <v>Normal</v>
      </c>
      <c r="E90">
        <v>5118</v>
      </c>
      <c r="F90" t="str">
        <f>IF(Table2_2[[#This Row],[Reviews]]&gt;$N$13,"Outlier"," Normal")</f>
        <v xml:space="preserve"> Normal</v>
      </c>
      <c r="G90">
        <v>20</v>
      </c>
      <c r="H90" t="str">
        <f>IF(Table2_2[[#This Row],[Price]]&gt;$N$20,"Outlier","Normal")</f>
        <v>Normal</v>
      </c>
      <c r="I90">
        <v>2016</v>
      </c>
      <c r="J90" t="str">
        <f>IF(Table2_2[[#This Row],[Year]]&gt;=2015,"Newer","Older")</f>
        <v>Newer</v>
      </c>
      <c r="K90" s="1" t="s">
        <v>11</v>
      </c>
    </row>
    <row r="91" spans="1:11" x14ac:dyDescent="0.35">
      <c r="A91" s="1" t="s">
        <v>134</v>
      </c>
      <c r="B91" s="1" t="s">
        <v>135</v>
      </c>
      <c r="C91">
        <v>4.5999999999999996</v>
      </c>
      <c r="D91" t="str">
        <f>IF(Table2_2[[#This Row],[User_Rating]]&lt;4.164816,"Outlier","Normal")</f>
        <v>Normal</v>
      </c>
      <c r="E91">
        <v>2134</v>
      </c>
      <c r="F91" t="str">
        <f>IF(Table2_2[[#This Row],[Reviews]]&gt;$N$13,"Outlier"," Normal")</f>
        <v xml:space="preserve"> Normal</v>
      </c>
      <c r="G91">
        <v>5</v>
      </c>
      <c r="H91" t="str">
        <f>IF(Table2_2[[#This Row],[Price]]&gt;$N$20,"Outlier","Normal")</f>
        <v>Normal</v>
      </c>
      <c r="I91">
        <v>2015</v>
      </c>
      <c r="J91" t="str">
        <f>IF(Table2_2[[#This Row],[Year]]&gt;=2015,"Newer","Older")</f>
        <v>Newer</v>
      </c>
      <c r="K91" s="1" t="s">
        <v>8</v>
      </c>
    </row>
    <row r="92" spans="1:11" x14ac:dyDescent="0.35">
      <c r="A92" s="1" t="s">
        <v>136</v>
      </c>
      <c r="B92" s="1" t="s">
        <v>137</v>
      </c>
      <c r="C92">
        <v>4.5</v>
      </c>
      <c r="D92" t="str">
        <f>IF(Table2_2[[#This Row],[User_Rating]]&lt;4.164816,"Outlier","Normal")</f>
        <v>Normal</v>
      </c>
      <c r="E92">
        <v>2525</v>
      </c>
      <c r="F92" t="str">
        <f>IF(Table2_2[[#This Row],[Reviews]]&gt;$N$13,"Outlier"," Normal")</f>
        <v xml:space="preserve"> Normal</v>
      </c>
      <c r="G92">
        <v>16</v>
      </c>
      <c r="H92" t="str">
        <f>IF(Table2_2[[#This Row],[Price]]&gt;$N$20,"Outlier","Normal")</f>
        <v>Normal</v>
      </c>
      <c r="I92">
        <v>2010</v>
      </c>
      <c r="J92" t="str">
        <f>IF(Table2_2[[#This Row],[Year]]&gt;=2015,"Newer","Older")</f>
        <v>Older</v>
      </c>
      <c r="K92" s="1" t="s">
        <v>8</v>
      </c>
    </row>
    <row r="93" spans="1:11" x14ac:dyDescent="0.35">
      <c r="A93" s="1" t="s">
        <v>138</v>
      </c>
      <c r="B93" s="1" t="s">
        <v>139</v>
      </c>
      <c r="C93">
        <v>4.5</v>
      </c>
      <c r="D93" t="str">
        <f>IF(Table2_2[[#This Row],[User_Rating]]&lt;4.164816,"Outlier","Normal")</f>
        <v>Normal</v>
      </c>
      <c r="E93">
        <v>720</v>
      </c>
      <c r="F93" t="str">
        <f>IF(Table2_2[[#This Row],[Reviews]]&gt;$N$13,"Outlier"," Normal")</f>
        <v xml:space="preserve"> Normal</v>
      </c>
      <c r="G93">
        <v>1</v>
      </c>
      <c r="H93" t="str">
        <f>IF(Table2_2[[#This Row],[Price]]&gt;$N$20,"Outlier","Normal")</f>
        <v>Normal</v>
      </c>
      <c r="I93">
        <v>2009</v>
      </c>
      <c r="J93" t="str">
        <f>IF(Table2_2[[#This Row],[Year]]&gt;=2015,"Newer","Older")</f>
        <v>Older</v>
      </c>
      <c r="K93" s="1" t="s">
        <v>8</v>
      </c>
    </row>
    <row r="94" spans="1:11" x14ac:dyDescent="0.35">
      <c r="A94" s="1" t="s">
        <v>140</v>
      </c>
      <c r="B94" s="1" t="s">
        <v>139</v>
      </c>
      <c r="C94">
        <v>4.3</v>
      </c>
      <c r="D94" t="str">
        <f>IF(Table2_2[[#This Row],[User_Rating]]&lt;4.164816,"Outlier","Normal")</f>
        <v>Normal</v>
      </c>
      <c r="E94">
        <v>956</v>
      </c>
      <c r="F94" t="str">
        <f>IF(Table2_2[[#This Row],[Reviews]]&gt;$N$13,"Outlier"," Normal")</f>
        <v xml:space="preserve"> Normal</v>
      </c>
      <c r="G94">
        <v>14</v>
      </c>
      <c r="H94" t="str">
        <f>IF(Table2_2[[#This Row],[Price]]&gt;$N$20,"Outlier","Normal")</f>
        <v>Normal</v>
      </c>
      <c r="I94">
        <v>2009</v>
      </c>
      <c r="J94" t="str">
        <f>IF(Table2_2[[#This Row],[Year]]&gt;=2015,"Newer","Older")</f>
        <v>Older</v>
      </c>
      <c r="K94" s="1" t="s">
        <v>8</v>
      </c>
    </row>
    <row r="95" spans="1:11" x14ac:dyDescent="0.35">
      <c r="A95" s="1" t="s">
        <v>141</v>
      </c>
      <c r="B95" s="1" t="s">
        <v>142</v>
      </c>
      <c r="C95">
        <v>4.5</v>
      </c>
      <c r="D95" t="str">
        <f>IF(Table2_2[[#This Row],[User_Rating]]&lt;4.164816,"Outlier","Normal")</f>
        <v>Normal</v>
      </c>
      <c r="E95">
        <v>6346</v>
      </c>
      <c r="F95" t="str">
        <f>IF(Table2_2[[#This Row],[Reviews]]&gt;$N$13,"Outlier"," Normal")</f>
        <v xml:space="preserve"> Normal</v>
      </c>
      <c r="G95">
        <v>9</v>
      </c>
      <c r="H95" t="str">
        <f>IF(Table2_2[[#This Row],[Price]]&gt;$N$20,"Outlier","Normal")</f>
        <v>Normal</v>
      </c>
      <c r="I95">
        <v>2011</v>
      </c>
      <c r="J95" t="str">
        <f>IF(Table2_2[[#This Row],[Year]]&gt;=2015,"Newer","Older")</f>
        <v>Older</v>
      </c>
      <c r="K95" s="1" t="s">
        <v>8</v>
      </c>
    </row>
    <row r="96" spans="1:11" x14ac:dyDescent="0.35">
      <c r="A96" s="1" t="s">
        <v>141</v>
      </c>
      <c r="B96" s="1" t="s">
        <v>142</v>
      </c>
      <c r="C96">
        <v>4.5</v>
      </c>
      <c r="D96" t="str">
        <f>IF(Table2_2[[#This Row],[User_Rating]]&lt;4.164816,"Outlier","Normal")</f>
        <v>Normal</v>
      </c>
      <c r="E96">
        <v>6346</v>
      </c>
      <c r="F96" t="str">
        <f>IF(Table2_2[[#This Row],[Reviews]]&gt;$N$13,"Outlier"," Normal")</f>
        <v xml:space="preserve"> Normal</v>
      </c>
      <c r="G96">
        <v>9</v>
      </c>
      <c r="H96" t="str">
        <f>IF(Table2_2[[#This Row],[Price]]&gt;$N$20,"Outlier","Normal")</f>
        <v>Normal</v>
      </c>
      <c r="I96">
        <v>2012</v>
      </c>
      <c r="J96" t="str">
        <f>IF(Table2_2[[#This Row],[Year]]&gt;=2015,"Newer","Older")</f>
        <v>Older</v>
      </c>
      <c r="K96" s="1" t="s">
        <v>8</v>
      </c>
    </row>
    <row r="97" spans="1:11" x14ac:dyDescent="0.35">
      <c r="A97" s="1" t="s">
        <v>143</v>
      </c>
      <c r="B97" s="1" t="s">
        <v>74</v>
      </c>
      <c r="C97">
        <v>4.7</v>
      </c>
      <c r="D97" t="str">
        <f>IF(Table2_2[[#This Row],[User_Rating]]&lt;4.164816,"Outlier","Normal")</f>
        <v>Normal</v>
      </c>
      <c r="E97">
        <v>5505</v>
      </c>
      <c r="F97" t="str">
        <f>IF(Table2_2[[#This Row],[Reviews]]&gt;$N$13,"Outlier"," Normal")</f>
        <v xml:space="preserve"> Normal</v>
      </c>
      <c r="G97">
        <v>7</v>
      </c>
      <c r="H97" t="str">
        <f>IF(Table2_2[[#This Row],[Price]]&gt;$N$20,"Outlier","Normal")</f>
        <v>Normal</v>
      </c>
      <c r="I97">
        <v>2009</v>
      </c>
      <c r="J97" t="str">
        <f>IF(Table2_2[[#This Row],[Year]]&gt;=2015,"Newer","Older")</f>
        <v>Older</v>
      </c>
      <c r="K97" s="1" t="s">
        <v>11</v>
      </c>
    </row>
    <row r="98" spans="1:11" x14ac:dyDescent="0.35">
      <c r="A98" s="1" t="s">
        <v>144</v>
      </c>
      <c r="B98" s="1" t="s">
        <v>74</v>
      </c>
      <c r="C98">
        <v>4.7</v>
      </c>
      <c r="D98" t="str">
        <f>IF(Table2_2[[#This Row],[User_Rating]]&lt;4.164816,"Outlier","Normal")</f>
        <v>Normal</v>
      </c>
      <c r="E98">
        <v>5505</v>
      </c>
      <c r="F98" t="str">
        <f>IF(Table2_2[[#This Row],[Reviews]]&gt;$N$13,"Outlier"," Normal")</f>
        <v xml:space="preserve"> Normal</v>
      </c>
      <c r="G98">
        <v>18</v>
      </c>
      <c r="H98" t="str">
        <f>IF(Table2_2[[#This Row],[Price]]&gt;$N$20,"Outlier","Normal")</f>
        <v>Normal</v>
      </c>
      <c r="I98">
        <v>2009</v>
      </c>
      <c r="J98" t="str">
        <f>IF(Table2_2[[#This Row],[Year]]&gt;=2015,"Newer","Older")</f>
        <v>Older</v>
      </c>
      <c r="K98" s="1" t="s">
        <v>11</v>
      </c>
    </row>
    <row r="99" spans="1:11" x14ac:dyDescent="0.35">
      <c r="A99" s="1" t="s">
        <v>145</v>
      </c>
      <c r="B99" s="1" t="s">
        <v>146</v>
      </c>
      <c r="C99">
        <v>4.7</v>
      </c>
      <c r="D99" t="str">
        <f>IF(Table2_2[[#This Row],[User_Rating]]&lt;4.164816,"Outlier","Normal")</f>
        <v>Normal</v>
      </c>
      <c r="E99">
        <v>28729</v>
      </c>
      <c r="F99" t="str">
        <f>IF(Table2_2[[#This Row],[Reviews]]&gt;$N$13,"Outlier"," Normal")</f>
        <v xml:space="preserve"> Normal</v>
      </c>
      <c r="G99">
        <v>15</v>
      </c>
      <c r="H99" t="str">
        <f>IF(Table2_2[[#This Row],[Price]]&gt;$N$20,"Outlier","Normal")</f>
        <v>Normal</v>
      </c>
      <c r="I99">
        <v>2018</v>
      </c>
      <c r="J99" t="str">
        <f>IF(Table2_2[[#This Row],[Year]]&gt;=2015,"Newer","Older")</f>
        <v>Newer</v>
      </c>
      <c r="K99" s="1" t="s">
        <v>8</v>
      </c>
    </row>
    <row r="100" spans="1:11" x14ac:dyDescent="0.35">
      <c r="A100" s="1" t="s">
        <v>145</v>
      </c>
      <c r="B100" s="1" t="s">
        <v>146</v>
      </c>
      <c r="C100">
        <v>4.7</v>
      </c>
      <c r="D100" t="str">
        <f>IF(Table2_2[[#This Row],[User_Rating]]&lt;4.164816,"Outlier","Normal")</f>
        <v>Normal</v>
      </c>
      <c r="E100">
        <v>28729</v>
      </c>
      <c r="F100" t="str">
        <f>IF(Table2_2[[#This Row],[Reviews]]&gt;$N$13,"Outlier"," Normal")</f>
        <v xml:space="preserve"> Normal</v>
      </c>
      <c r="G100">
        <v>15</v>
      </c>
      <c r="H100" t="str">
        <f>IF(Table2_2[[#This Row],[Price]]&gt;$N$20,"Outlier","Normal")</f>
        <v>Normal</v>
      </c>
      <c r="I100">
        <v>2019</v>
      </c>
      <c r="J100" t="str">
        <f>IF(Table2_2[[#This Row],[Year]]&gt;=2015,"Newer","Older")</f>
        <v>Newer</v>
      </c>
      <c r="K100" s="1" t="s">
        <v>8</v>
      </c>
    </row>
    <row r="101" spans="1:11" x14ac:dyDescent="0.35">
      <c r="A101" s="1" t="s">
        <v>147</v>
      </c>
      <c r="B101" s="1" t="s">
        <v>148</v>
      </c>
      <c r="C101">
        <v>4.7</v>
      </c>
      <c r="D101" t="str">
        <f>IF(Table2_2[[#This Row],[User_Rating]]&lt;4.164816,"Outlier","Normal")</f>
        <v>Normal</v>
      </c>
      <c r="E101">
        <v>5413</v>
      </c>
      <c r="F101" t="str">
        <f>IF(Table2_2[[#This Row],[Reviews]]&gt;$N$13,"Outlier"," Normal")</f>
        <v xml:space="preserve"> Normal</v>
      </c>
      <c r="G101">
        <v>9</v>
      </c>
      <c r="H101" t="str">
        <f>IF(Table2_2[[#This Row],[Price]]&gt;$N$20,"Outlier","Normal")</f>
        <v>Normal</v>
      </c>
      <c r="I101">
        <v>2015</v>
      </c>
      <c r="J101" t="str">
        <f>IF(Table2_2[[#This Row],[Year]]&gt;=2015,"Newer","Older")</f>
        <v>Newer</v>
      </c>
      <c r="K101" s="1" t="s">
        <v>8</v>
      </c>
    </row>
    <row r="102" spans="1:11" x14ac:dyDescent="0.35">
      <c r="A102" s="1" t="s">
        <v>149</v>
      </c>
      <c r="B102" s="1" t="s">
        <v>150</v>
      </c>
      <c r="C102">
        <v>4.5999999999999996</v>
      </c>
      <c r="D102" t="str">
        <f>IF(Table2_2[[#This Row],[User_Rating]]&lt;4.164816,"Outlier","Normal")</f>
        <v>Normal</v>
      </c>
      <c r="E102">
        <v>10721</v>
      </c>
      <c r="F102" t="str">
        <f>IF(Table2_2[[#This Row],[Reviews]]&gt;$N$13,"Outlier"," Normal")</f>
        <v xml:space="preserve"> Normal</v>
      </c>
      <c r="G102">
        <v>8</v>
      </c>
      <c r="H102" t="str">
        <f>IF(Table2_2[[#This Row],[Price]]&gt;$N$20,"Outlier","Normal")</f>
        <v>Normal</v>
      </c>
      <c r="I102">
        <v>2016</v>
      </c>
      <c r="J102" t="str">
        <f>IF(Table2_2[[#This Row],[Year]]&gt;=2015,"Newer","Older")</f>
        <v>Newer</v>
      </c>
      <c r="K102" s="1" t="s">
        <v>11</v>
      </c>
    </row>
    <row r="103" spans="1:11" x14ac:dyDescent="0.35">
      <c r="A103" s="1" t="s">
        <v>149</v>
      </c>
      <c r="B103" s="1" t="s">
        <v>150</v>
      </c>
      <c r="C103">
        <v>4.5999999999999996</v>
      </c>
      <c r="D103" t="str">
        <f>IF(Table2_2[[#This Row],[User_Rating]]&lt;4.164816,"Outlier","Normal")</f>
        <v>Normal</v>
      </c>
      <c r="E103">
        <v>10721</v>
      </c>
      <c r="F103" t="str">
        <f>IF(Table2_2[[#This Row],[Reviews]]&gt;$N$13,"Outlier"," Normal")</f>
        <v xml:space="preserve"> Normal</v>
      </c>
      <c r="G103">
        <v>8</v>
      </c>
      <c r="H103" t="str">
        <f>IF(Table2_2[[#This Row],[Price]]&gt;$N$20,"Outlier","Normal")</f>
        <v>Normal</v>
      </c>
      <c r="I103">
        <v>2018</v>
      </c>
      <c r="J103" t="str">
        <f>IF(Table2_2[[#This Row],[Year]]&gt;=2015,"Newer","Older")</f>
        <v>Newer</v>
      </c>
      <c r="K103" s="1" t="s">
        <v>11</v>
      </c>
    </row>
    <row r="104" spans="1:11" x14ac:dyDescent="0.35">
      <c r="A104" s="1" t="s">
        <v>151</v>
      </c>
      <c r="B104" s="1" t="s">
        <v>152</v>
      </c>
      <c r="C104">
        <v>4.7</v>
      </c>
      <c r="D104" t="str">
        <f>IF(Table2_2[[#This Row],[User_Rating]]&lt;4.164816,"Outlier","Normal")</f>
        <v>Normal</v>
      </c>
      <c r="E104">
        <v>4370</v>
      </c>
      <c r="F104" t="str">
        <f>IF(Table2_2[[#This Row],[Reviews]]&gt;$N$13,"Outlier"," Normal")</f>
        <v xml:space="preserve"> Normal</v>
      </c>
      <c r="G104">
        <v>15</v>
      </c>
      <c r="H104" t="str">
        <f>IF(Table2_2[[#This Row],[Price]]&gt;$N$20,"Outlier","Normal")</f>
        <v>Normal</v>
      </c>
      <c r="I104">
        <v>2016</v>
      </c>
      <c r="J104" t="str">
        <f>IF(Table2_2[[#This Row],[Year]]&gt;=2015,"Newer","Older")</f>
        <v>Newer</v>
      </c>
      <c r="K104" s="1" t="s">
        <v>11</v>
      </c>
    </row>
    <row r="105" spans="1:11" x14ac:dyDescent="0.35">
      <c r="A105" s="1" t="s">
        <v>153</v>
      </c>
      <c r="B105" s="1" t="s">
        <v>154</v>
      </c>
      <c r="C105">
        <v>4.4000000000000004</v>
      </c>
      <c r="D105" t="str">
        <f>IF(Table2_2[[#This Row],[User_Rating]]&lt;4.164816,"Outlier","Normal")</f>
        <v>Normal</v>
      </c>
      <c r="E105">
        <v>6042</v>
      </c>
      <c r="F105" t="str">
        <f>IF(Table2_2[[#This Row],[Reviews]]&gt;$N$13,"Outlier"," Normal")</f>
        <v xml:space="preserve"> Normal</v>
      </c>
      <c r="G105">
        <v>2</v>
      </c>
      <c r="H105" t="str">
        <f>IF(Table2_2[[#This Row],[Price]]&gt;$N$20,"Outlier","Normal")</f>
        <v>Normal</v>
      </c>
      <c r="I105">
        <v>2018</v>
      </c>
      <c r="J105" t="str">
        <f>IF(Table2_2[[#This Row],[Year]]&gt;=2015,"Newer","Older")</f>
        <v>Newer</v>
      </c>
      <c r="K105" s="1" t="s">
        <v>8</v>
      </c>
    </row>
    <row r="106" spans="1:11" x14ac:dyDescent="0.35">
      <c r="A106" s="1" t="s">
        <v>155</v>
      </c>
      <c r="B106" s="1" t="s">
        <v>156</v>
      </c>
      <c r="C106">
        <v>4.4000000000000004</v>
      </c>
      <c r="D106" t="str">
        <f>IF(Table2_2[[#This Row],[User_Rating]]&lt;4.164816,"Outlier","Normal")</f>
        <v>Normal</v>
      </c>
      <c r="E106">
        <v>23631</v>
      </c>
      <c r="F106" t="str">
        <f>IF(Table2_2[[#This Row],[Reviews]]&gt;$N$13,"Outlier"," Normal")</f>
        <v xml:space="preserve"> Normal</v>
      </c>
      <c r="G106">
        <v>7</v>
      </c>
      <c r="H106" t="str">
        <f>IF(Table2_2[[#This Row],[Price]]&gt;$N$20,"Outlier","Normal")</f>
        <v>Normal</v>
      </c>
      <c r="I106">
        <v>2012</v>
      </c>
      <c r="J106" t="str">
        <f>IF(Table2_2[[#This Row],[Year]]&gt;=2015,"Newer","Older")</f>
        <v>Older</v>
      </c>
      <c r="K106" s="1" t="s">
        <v>11</v>
      </c>
    </row>
    <row r="107" spans="1:11" x14ac:dyDescent="0.35">
      <c r="A107" s="1" t="s">
        <v>157</v>
      </c>
      <c r="B107" s="1" t="s">
        <v>156</v>
      </c>
      <c r="C107">
        <v>4.5</v>
      </c>
      <c r="D107" t="str">
        <f>IF(Table2_2[[#This Row],[User_Rating]]&lt;4.164816,"Outlier","Normal")</f>
        <v>Normal</v>
      </c>
      <c r="E107">
        <v>20262</v>
      </c>
      <c r="F107" t="str">
        <f>IF(Table2_2[[#This Row],[Reviews]]&gt;$N$13,"Outlier"," Normal")</f>
        <v xml:space="preserve"> Normal</v>
      </c>
      <c r="G107">
        <v>11</v>
      </c>
      <c r="H107" t="str">
        <f>IF(Table2_2[[#This Row],[Price]]&gt;$N$20,"Outlier","Normal")</f>
        <v>Normal</v>
      </c>
      <c r="I107">
        <v>2012</v>
      </c>
      <c r="J107" t="str">
        <f>IF(Table2_2[[#This Row],[Year]]&gt;=2015,"Newer","Older")</f>
        <v>Older</v>
      </c>
      <c r="K107" s="1" t="s">
        <v>11</v>
      </c>
    </row>
    <row r="108" spans="1:11" x14ac:dyDescent="0.35">
      <c r="A108" s="1" t="s">
        <v>158</v>
      </c>
      <c r="B108" s="1" t="s">
        <v>156</v>
      </c>
      <c r="C108">
        <v>3.8</v>
      </c>
      <c r="D108" t="str">
        <f>IF(Table2_2[[#This Row],[User_Rating]]&lt;4.164816,"Outlier","Normal")</f>
        <v>Outlier</v>
      </c>
      <c r="E108">
        <v>47265</v>
      </c>
      <c r="F108" t="str">
        <f>IF(Table2_2[[#This Row],[Reviews]]&gt;$N$13,"Outlier"," Normal")</f>
        <v>Outlier</v>
      </c>
      <c r="G108">
        <v>14</v>
      </c>
      <c r="H108" t="str">
        <f>IF(Table2_2[[#This Row],[Price]]&gt;$N$20,"Outlier","Normal")</f>
        <v>Normal</v>
      </c>
      <c r="I108">
        <v>2012</v>
      </c>
      <c r="J108" t="str">
        <f>IF(Table2_2[[#This Row],[Year]]&gt;=2015,"Newer","Older")</f>
        <v>Older</v>
      </c>
      <c r="K108" s="1" t="s">
        <v>11</v>
      </c>
    </row>
    <row r="109" spans="1:11" x14ac:dyDescent="0.35">
      <c r="A109" s="1" t="s">
        <v>158</v>
      </c>
      <c r="B109" s="1" t="s">
        <v>156</v>
      </c>
      <c r="C109">
        <v>3.8</v>
      </c>
      <c r="D109" t="str">
        <f>IF(Table2_2[[#This Row],[User_Rating]]&lt;4.164816,"Outlier","Normal")</f>
        <v>Outlier</v>
      </c>
      <c r="E109">
        <v>47265</v>
      </c>
      <c r="F109" t="str">
        <f>IF(Table2_2[[#This Row],[Reviews]]&gt;$N$13,"Outlier"," Normal")</f>
        <v>Outlier</v>
      </c>
      <c r="G109">
        <v>14</v>
      </c>
      <c r="H109" t="str">
        <f>IF(Table2_2[[#This Row],[Price]]&gt;$N$20,"Outlier","Normal")</f>
        <v>Normal</v>
      </c>
      <c r="I109">
        <v>2013</v>
      </c>
      <c r="J109" t="str">
        <f>IF(Table2_2[[#This Row],[Year]]&gt;=2015,"Newer","Older")</f>
        <v>Older</v>
      </c>
      <c r="K109" s="1" t="s">
        <v>11</v>
      </c>
    </row>
    <row r="110" spans="1:11" x14ac:dyDescent="0.35">
      <c r="A110" s="1" t="s">
        <v>159</v>
      </c>
      <c r="B110" s="1" t="s">
        <v>156</v>
      </c>
      <c r="C110">
        <v>4.5</v>
      </c>
      <c r="D110" t="str">
        <f>IF(Table2_2[[#This Row],[User_Rating]]&lt;4.164816,"Outlier","Normal")</f>
        <v>Normal</v>
      </c>
      <c r="E110">
        <v>13964</v>
      </c>
      <c r="F110" t="str">
        <f>IF(Table2_2[[#This Row],[Reviews]]&gt;$N$13,"Outlier"," Normal")</f>
        <v xml:space="preserve"> Normal</v>
      </c>
      <c r="G110">
        <v>32</v>
      </c>
      <c r="H110" t="str">
        <f>IF(Table2_2[[#This Row],[Price]]&gt;$N$20,"Outlier","Normal")</f>
        <v>Normal</v>
      </c>
      <c r="I110">
        <v>2012</v>
      </c>
      <c r="J110" t="str">
        <f>IF(Table2_2[[#This Row],[Year]]&gt;=2015,"Newer","Older")</f>
        <v>Older</v>
      </c>
      <c r="K110" s="1" t="s">
        <v>11</v>
      </c>
    </row>
    <row r="111" spans="1:11" x14ac:dyDescent="0.35">
      <c r="A111" s="1" t="s">
        <v>160</v>
      </c>
      <c r="B111" s="1" t="s">
        <v>161</v>
      </c>
      <c r="C111">
        <v>4.2</v>
      </c>
      <c r="D111" t="str">
        <f>IF(Table2_2[[#This Row],[User_Rating]]&lt;4.164816,"Outlier","Normal")</f>
        <v>Normal</v>
      </c>
      <c r="E111">
        <v>13677</v>
      </c>
      <c r="F111" t="str">
        <f>IF(Table2_2[[#This Row],[Reviews]]&gt;$N$13,"Outlier"," Normal")</f>
        <v xml:space="preserve"> Normal</v>
      </c>
      <c r="G111">
        <v>6</v>
      </c>
      <c r="H111" t="str">
        <f>IF(Table2_2[[#This Row],[Price]]&gt;$N$20,"Outlier","Normal")</f>
        <v>Normal</v>
      </c>
      <c r="I111">
        <v>2018</v>
      </c>
      <c r="J111" t="str">
        <f>IF(Table2_2[[#This Row],[Year]]&gt;=2015,"Newer","Older")</f>
        <v>Newer</v>
      </c>
      <c r="K111" s="1" t="s">
        <v>8</v>
      </c>
    </row>
    <row r="112" spans="1:11" x14ac:dyDescent="0.35">
      <c r="A112" s="1" t="s">
        <v>162</v>
      </c>
      <c r="B112" s="1" t="s">
        <v>163</v>
      </c>
      <c r="C112">
        <v>4.7</v>
      </c>
      <c r="D112" t="str">
        <f>IF(Table2_2[[#This Row],[User_Rating]]&lt;4.164816,"Outlier","Normal")</f>
        <v>Normal</v>
      </c>
      <c r="E112">
        <v>17323</v>
      </c>
      <c r="F112" t="str">
        <f>IF(Table2_2[[#This Row],[Reviews]]&gt;$N$13,"Outlier"," Normal")</f>
        <v xml:space="preserve"> Normal</v>
      </c>
      <c r="G112">
        <v>4</v>
      </c>
      <c r="H112" t="str">
        <f>IF(Table2_2[[#This Row],[Price]]&gt;$N$20,"Outlier","Normal")</f>
        <v>Normal</v>
      </c>
      <c r="I112">
        <v>2014</v>
      </c>
      <c r="J112" t="str">
        <f>IF(Table2_2[[#This Row],[Year]]&gt;=2015,"Newer","Older")</f>
        <v>Older</v>
      </c>
      <c r="K112" s="1" t="s">
        <v>8</v>
      </c>
    </row>
    <row r="113" spans="1:11" x14ac:dyDescent="0.35">
      <c r="A113" s="1" t="s">
        <v>162</v>
      </c>
      <c r="B113" s="1" t="s">
        <v>163</v>
      </c>
      <c r="C113">
        <v>4.7</v>
      </c>
      <c r="D113" t="str">
        <f>IF(Table2_2[[#This Row],[User_Rating]]&lt;4.164816,"Outlier","Normal")</f>
        <v>Normal</v>
      </c>
      <c r="E113">
        <v>17323</v>
      </c>
      <c r="F113" t="str">
        <f>IF(Table2_2[[#This Row],[Reviews]]&gt;$N$13,"Outlier"," Normal")</f>
        <v xml:space="preserve"> Normal</v>
      </c>
      <c r="G113">
        <v>4</v>
      </c>
      <c r="H113" t="str">
        <f>IF(Table2_2[[#This Row],[Price]]&gt;$N$20,"Outlier","Normal")</f>
        <v>Normal</v>
      </c>
      <c r="I113">
        <v>2015</v>
      </c>
      <c r="J113" t="str">
        <f>IF(Table2_2[[#This Row],[Year]]&gt;=2015,"Newer","Older")</f>
        <v>Newer</v>
      </c>
      <c r="K113" s="1" t="s">
        <v>8</v>
      </c>
    </row>
    <row r="114" spans="1:11" x14ac:dyDescent="0.35">
      <c r="A114" s="1" t="s">
        <v>162</v>
      </c>
      <c r="B114" s="1" t="s">
        <v>163</v>
      </c>
      <c r="C114">
        <v>4.7</v>
      </c>
      <c r="D114" t="str">
        <f>IF(Table2_2[[#This Row],[User_Rating]]&lt;4.164816,"Outlier","Normal")</f>
        <v>Normal</v>
      </c>
      <c r="E114">
        <v>17323</v>
      </c>
      <c r="F114" t="str">
        <f>IF(Table2_2[[#This Row],[Reviews]]&gt;$N$13,"Outlier"," Normal")</f>
        <v xml:space="preserve"> Normal</v>
      </c>
      <c r="G114">
        <v>4</v>
      </c>
      <c r="H114" t="str">
        <f>IF(Table2_2[[#This Row],[Price]]&gt;$N$20,"Outlier","Normal")</f>
        <v>Normal</v>
      </c>
      <c r="I114">
        <v>2016</v>
      </c>
      <c r="J114" t="str">
        <f>IF(Table2_2[[#This Row],[Year]]&gt;=2015,"Newer","Older")</f>
        <v>Newer</v>
      </c>
      <c r="K114" s="1" t="s">
        <v>8</v>
      </c>
    </row>
    <row r="115" spans="1:11" x14ac:dyDescent="0.35">
      <c r="A115" s="1" t="s">
        <v>162</v>
      </c>
      <c r="B115" s="1" t="s">
        <v>163</v>
      </c>
      <c r="C115">
        <v>4.7</v>
      </c>
      <c r="D115" t="str">
        <f>IF(Table2_2[[#This Row],[User_Rating]]&lt;4.164816,"Outlier","Normal")</f>
        <v>Normal</v>
      </c>
      <c r="E115">
        <v>17323</v>
      </c>
      <c r="F115" t="str">
        <f>IF(Table2_2[[#This Row],[Reviews]]&gt;$N$13,"Outlier"," Normal")</f>
        <v xml:space="preserve"> Normal</v>
      </c>
      <c r="G115">
        <v>4</v>
      </c>
      <c r="H115" t="str">
        <f>IF(Table2_2[[#This Row],[Price]]&gt;$N$20,"Outlier","Normal")</f>
        <v>Normal</v>
      </c>
      <c r="I115">
        <v>2017</v>
      </c>
      <c r="J115" t="str">
        <f>IF(Table2_2[[#This Row],[Year]]&gt;=2015,"Newer","Older")</f>
        <v>Newer</v>
      </c>
      <c r="K115" s="1" t="s">
        <v>8</v>
      </c>
    </row>
    <row r="116" spans="1:11" x14ac:dyDescent="0.35">
      <c r="A116" s="1" t="s">
        <v>162</v>
      </c>
      <c r="B116" s="1" t="s">
        <v>163</v>
      </c>
      <c r="C116">
        <v>4.7</v>
      </c>
      <c r="D116" t="str">
        <f>IF(Table2_2[[#This Row],[User_Rating]]&lt;4.164816,"Outlier","Normal")</f>
        <v>Normal</v>
      </c>
      <c r="E116">
        <v>17323</v>
      </c>
      <c r="F116" t="str">
        <f>IF(Table2_2[[#This Row],[Reviews]]&gt;$N$13,"Outlier"," Normal")</f>
        <v xml:space="preserve"> Normal</v>
      </c>
      <c r="G116">
        <v>4</v>
      </c>
      <c r="H116" t="str">
        <f>IF(Table2_2[[#This Row],[Price]]&gt;$N$20,"Outlier","Normal")</f>
        <v>Normal</v>
      </c>
      <c r="I116">
        <v>2018</v>
      </c>
      <c r="J116" t="str">
        <f>IF(Table2_2[[#This Row],[Year]]&gt;=2015,"Newer","Older")</f>
        <v>Newer</v>
      </c>
      <c r="K116" s="1" t="s">
        <v>8</v>
      </c>
    </row>
    <row r="117" spans="1:11" x14ac:dyDescent="0.35">
      <c r="A117" s="1" t="s">
        <v>164</v>
      </c>
      <c r="B117" s="1" t="s">
        <v>165</v>
      </c>
      <c r="C117">
        <v>4.4000000000000004</v>
      </c>
      <c r="D117" t="str">
        <f>IF(Table2_2[[#This Row],[User_Rating]]&lt;4.164816,"Outlier","Normal")</f>
        <v>Normal</v>
      </c>
      <c r="E117">
        <v>1555</v>
      </c>
      <c r="F117" t="str">
        <f>IF(Table2_2[[#This Row],[Reviews]]&gt;$N$13,"Outlier"," Normal")</f>
        <v xml:space="preserve"> Normal</v>
      </c>
      <c r="G117">
        <v>9</v>
      </c>
      <c r="H117" t="str">
        <f>IF(Table2_2[[#This Row],[Price]]&gt;$N$20,"Outlier","Normal")</f>
        <v>Normal</v>
      </c>
      <c r="I117">
        <v>2010</v>
      </c>
      <c r="J117" t="str">
        <f>IF(Table2_2[[#This Row],[Year]]&gt;=2015,"Newer","Older")</f>
        <v>Older</v>
      </c>
      <c r="K117" s="1" t="s">
        <v>8</v>
      </c>
    </row>
    <row r="118" spans="1:11" x14ac:dyDescent="0.35">
      <c r="A118" s="1" t="s">
        <v>166</v>
      </c>
      <c r="B118" s="1" t="s">
        <v>167</v>
      </c>
      <c r="C118">
        <v>4.7</v>
      </c>
      <c r="D118" t="str">
        <f>IF(Table2_2[[#This Row],[User_Rating]]&lt;4.164816,"Outlier","Normal")</f>
        <v>Normal</v>
      </c>
      <c r="E118">
        <v>3642</v>
      </c>
      <c r="F118" t="str">
        <f>IF(Table2_2[[#This Row],[Reviews]]&gt;$N$13,"Outlier"," Normal")</f>
        <v xml:space="preserve"> Normal</v>
      </c>
      <c r="G118">
        <v>0</v>
      </c>
      <c r="H118" t="str">
        <f>IF(Table2_2[[#This Row],[Price]]&gt;$N$20,"Outlier","Normal")</f>
        <v>Normal</v>
      </c>
      <c r="I118">
        <v>2014</v>
      </c>
      <c r="J118" t="str">
        <f>IF(Table2_2[[#This Row],[Year]]&gt;=2015,"Newer","Older")</f>
        <v>Older</v>
      </c>
      <c r="K118" s="1" t="s">
        <v>11</v>
      </c>
    </row>
    <row r="119" spans="1:11" x14ac:dyDescent="0.35">
      <c r="A119" s="1" t="s">
        <v>168</v>
      </c>
      <c r="B119" s="1" t="s">
        <v>169</v>
      </c>
      <c r="C119">
        <v>4.4000000000000004</v>
      </c>
      <c r="D119" t="str">
        <f>IF(Table2_2[[#This Row],[User_Rating]]&lt;4.164816,"Outlier","Normal")</f>
        <v>Normal</v>
      </c>
      <c r="E119">
        <v>1215</v>
      </c>
      <c r="F119" t="str">
        <f>IF(Table2_2[[#This Row],[Reviews]]&gt;$N$13,"Outlier"," Normal")</f>
        <v xml:space="preserve"> Normal</v>
      </c>
      <c r="G119">
        <v>9</v>
      </c>
      <c r="H119" t="str">
        <f>IF(Table2_2[[#This Row],[Price]]&gt;$N$20,"Outlier","Normal")</f>
        <v>Normal</v>
      </c>
      <c r="I119">
        <v>2010</v>
      </c>
      <c r="J119" t="str">
        <f>IF(Table2_2[[#This Row],[Year]]&gt;=2015,"Newer","Older")</f>
        <v>Older</v>
      </c>
      <c r="K119" s="1" t="s">
        <v>8</v>
      </c>
    </row>
    <row r="120" spans="1:11" x14ac:dyDescent="0.35">
      <c r="A120" s="1" t="s">
        <v>170</v>
      </c>
      <c r="B120" s="1" t="s">
        <v>171</v>
      </c>
      <c r="C120">
        <v>4.5999999999999996</v>
      </c>
      <c r="D120" t="str">
        <f>IF(Table2_2[[#This Row],[User_Rating]]&lt;4.164816,"Outlier","Normal")</f>
        <v>Normal</v>
      </c>
      <c r="E120">
        <v>5594</v>
      </c>
      <c r="F120" t="str">
        <f>IF(Table2_2[[#This Row],[Reviews]]&gt;$N$13,"Outlier"," Normal")</f>
        <v xml:space="preserve"> Normal</v>
      </c>
      <c r="G120">
        <v>5</v>
      </c>
      <c r="H120" t="str">
        <f>IF(Table2_2[[#This Row],[Price]]&gt;$N$20,"Outlier","Normal")</f>
        <v>Normal</v>
      </c>
      <c r="I120">
        <v>2011</v>
      </c>
      <c r="J120" t="str">
        <f>IF(Table2_2[[#This Row],[Year]]&gt;=2015,"Newer","Older")</f>
        <v>Older</v>
      </c>
      <c r="K120" s="1" t="s">
        <v>11</v>
      </c>
    </row>
    <row r="121" spans="1:11" x14ac:dyDescent="0.35">
      <c r="A121" s="1" t="s">
        <v>170</v>
      </c>
      <c r="B121" s="1" t="s">
        <v>171</v>
      </c>
      <c r="C121">
        <v>4.5999999999999996</v>
      </c>
      <c r="D121" t="str">
        <f>IF(Table2_2[[#This Row],[User_Rating]]&lt;4.164816,"Outlier","Normal")</f>
        <v>Normal</v>
      </c>
      <c r="E121">
        <v>5594</v>
      </c>
      <c r="F121" t="str">
        <f>IF(Table2_2[[#This Row],[Reviews]]&gt;$N$13,"Outlier"," Normal")</f>
        <v xml:space="preserve"> Normal</v>
      </c>
      <c r="G121">
        <v>5</v>
      </c>
      <c r="H121" t="str">
        <f>IF(Table2_2[[#This Row],[Price]]&gt;$N$20,"Outlier","Normal")</f>
        <v>Normal</v>
      </c>
      <c r="I121">
        <v>2012</v>
      </c>
      <c r="J121" t="str">
        <f>IF(Table2_2[[#This Row],[Year]]&gt;=2015,"Newer","Older")</f>
        <v>Older</v>
      </c>
      <c r="K121" s="1" t="s">
        <v>11</v>
      </c>
    </row>
    <row r="122" spans="1:11" x14ac:dyDescent="0.35">
      <c r="A122" s="1" t="s">
        <v>170</v>
      </c>
      <c r="B122" s="1" t="s">
        <v>171</v>
      </c>
      <c r="C122">
        <v>4.5999999999999996</v>
      </c>
      <c r="D122" t="str">
        <f>IF(Table2_2[[#This Row],[User_Rating]]&lt;4.164816,"Outlier","Normal")</f>
        <v>Normal</v>
      </c>
      <c r="E122">
        <v>5594</v>
      </c>
      <c r="F122" t="str">
        <f>IF(Table2_2[[#This Row],[Reviews]]&gt;$N$13,"Outlier"," Normal")</f>
        <v xml:space="preserve"> Normal</v>
      </c>
      <c r="G122">
        <v>5</v>
      </c>
      <c r="H122" t="str">
        <f>IF(Table2_2[[#This Row],[Price]]&gt;$N$20,"Outlier","Normal")</f>
        <v>Normal</v>
      </c>
      <c r="I122">
        <v>2013</v>
      </c>
      <c r="J122" t="str">
        <f>IF(Table2_2[[#This Row],[Year]]&gt;=2015,"Newer","Older")</f>
        <v>Older</v>
      </c>
      <c r="K122" s="1" t="s">
        <v>11</v>
      </c>
    </row>
    <row r="123" spans="1:11" x14ac:dyDescent="0.35">
      <c r="A123" s="1" t="s">
        <v>172</v>
      </c>
      <c r="B123" s="1" t="s">
        <v>173</v>
      </c>
      <c r="C123">
        <v>4.5</v>
      </c>
      <c r="D123" t="str">
        <f>IF(Table2_2[[#This Row],[User_Rating]]&lt;4.164816,"Outlier","Normal")</f>
        <v>Normal</v>
      </c>
      <c r="E123">
        <v>408</v>
      </c>
      <c r="F123" t="str">
        <f>IF(Table2_2[[#This Row],[Reviews]]&gt;$N$13,"Outlier"," Normal")</f>
        <v xml:space="preserve"> Normal</v>
      </c>
      <c r="G123">
        <v>20</v>
      </c>
      <c r="H123" t="str">
        <f>IF(Table2_2[[#This Row],[Price]]&gt;$N$20,"Outlier","Normal")</f>
        <v>Normal</v>
      </c>
      <c r="I123">
        <v>2010</v>
      </c>
      <c r="J123" t="str">
        <f>IF(Table2_2[[#This Row],[Year]]&gt;=2015,"Newer","Older")</f>
        <v>Older</v>
      </c>
      <c r="K123" s="1" t="s">
        <v>8</v>
      </c>
    </row>
    <row r="124" spans="1:11" x14ac:dyDescent="0.35">
      <c r="A124" s="1" t="s">
        <v>174</v>
      </c>
      <c r="B124" s="1" t="s">
        <v>175</v>
      </c>
      <c r="C124">
        <v>4.5999999999999996</v>
      </c>
      <c r="D124" t="str">
        <f>IF(Table2_2[[#This Row],[User_Rating]]&lt;4.164816,"Outlier","Normal")</f>
        <v>Normal</v>
      </c>
      <c r="E124">
        <v>4799</v>
      </c>
      <c r="F124" t="str">
        <f>IF(Table2_2[[#This Row],[Reviews]]&gt;$N$13,"Outlier"," Normal")</f>
        <v xml:space="preserve"> Normal</v>
      </c>
      <c r="G124">
        <v>16</v>
      </c>
      <c r="H124" t="str">
        <f>IF(Table2_2[[#This Row],[Price]]&gt;$N$20,"Outlier","Normal")</f>
        <v>Normal</v>
      </c>
      <c r="I124">
        <v>2013</v>
      </c>
      <c r="J124" t="str">
        <f>IF(Table2_2[[#This Row],[Year]]&gt;=2015,"Newer","Older")</f>
        <v>Older</v>
      </c>
      <c r="K124" s="1" t="s">
        <v>8</v>
      </c>
    </row>
    <row r="125" spans="1:11" x14ac:dyDescent="0.35">
      <c r="A125" s="1" t="s">
        <v>176</v>
      </c>
      <c r="B125" s="1" t="s">
        <v>177</v>
      </c>
      <c r="C125">
        <v>4.8</v>
      </c>
      <c r="D125" t="str">
        <f>IF(Table2_2[[#This Row],[User_Rating]]&lt;4.164816,"Outlier","Normal")</f>
        <v>Normal</v>
      </c>
      <c r="E125">
        <v>14038</v>
      </c>
      <c r="F125" t="str">
        <f>IF(Table2_2[[#This Row],[Reviews]]&gt;$N$13,"Outlier"," Normal")</f>
        <v xml:space="preserve"> Normal</v>
      </c>
      <c r="G125">
        <v>4</v>
      </c>
      <c r="H125" t="str">
        <f>IF(Table2_2[[#This Row],[Price]]&gt;$N$20,"Outlier","Normal")</f>
        <v>Normal</v>
      </c>
      <c r="I125">
        <v>2015</v>
      </c>
      <c r="J125" t="str">
        <f>IF(Table2_2[[#This Row],[Year]]&gt;=2015,"Newer","Older")</f>
        <v>Newer</v>
      </c>
      <c r="K125" s="1" t="s">
        <v>11</v>
      </c>
    </row>
    <row r="126" spans="1:11" x14ac:dyDescent="0.35">
      <c r="A126" s="1" t="s">
        <v>176</v>
      </c>
      <c r="B126" s="1" t="s">
        <v>177</v>
      </c>
      <c r="C126">
        <v>4.8</v>
      </c>
      <c r="D126" t="str">
        <f>IF(Table2_2[[#This Row],[User_Rating]]&lt;4.164816,"Outlier","Normal")</f>
        <v>Normal</v>
      </c>
      <c r="E126">
        <v>14038</v>
      </c>
      <c r="F126" t="str">
        <f>IF(Table2_2[[#This Row],[Reviews]]&gt;$N$13,"Outlier"," Normal")</f>
        <v xml:space="preserve"> Normal</v>
      </c>
      <c r="G126">
        <v>4</v>
      </c>
      <c r="H126" t="str">
        <f>IF(Table2_2[[#This Row],[Price]]&gt;$N$20,"Outlier","Normal")</f>
        <v>Normal</v>
      </c>
      <c r="I126">
        <v>2016</v>
      </c>
      <c r="J126" t="str">
        <f>IF(Table2_2[[#This Row],[Year]]&gt;=2015,"Newer","Older")</f>
        <v>Newer</v>
      </c>
      <c r="K126" s="1" t="s">
        <v>11</v>
      </c>
    </row>
    <row r="127" spans="1:11" x14ac:dyDescent="0.35">
      <c r="A127" s="1" t="s">
        <v>176</v>
      </c>
      <c r="B127" s="1" t="s">
        <v>177</v>
      </c>
      <c r="C127">
        <v>4.8</v>
      </c>
      <c r="D127" t="str">
        <f>IF(Table2_2[[#This Row],[User_Rating]]&lt;4.164816,"Outlier","Normal")</f>
        <v>Normal</v>
      </c>
      <c r="E127">
        <v>14038</v>
      </c>
      <c r="F127" t="str">
        <f>IF(Table2_2[[#This Row],[Reviews]]&gt;$N$13,"Outlier"," Normal")</f>
        <v xml:space="preserve"> Normal</v>
      </c>
      <c r="G127">
        <v>4</v>
      </c>
      <c r="H127" t="str">
        <f>IF(Table2_2[[#This Row],[Price]]&gt;$N$20,"Outlier","Normal")</f>
        <v>Normal</v>
      </c>
      <c r="I127">
        <v>2017</v>
      </c>
      <c r="J127" t="str">
        <f>IF(Table2_2[[#This Row],[Year]]&gt;=2015,"Newer","Older")</f>
        <v>Newer</v>
      </c>
      <c r="K127" s="1" t="s">
        <v>11</v>
      </c>
    </row>
    <row r="128" spans="1:11" x14ac:dyDescent="0.35">
      <c r="A128" s="1" t="s">
        <v>176</v>
      </c>
      <c r="B128" s="1" t="s">
        <v>177</v>
      </c>
      <c r="C128">
        <v>4.8</v>
      </c>
      <c r="D128" t="str">
        <f>IF(Table2_2[[#This Row],[User_Rating]]&lt;4.164816,"Outlier","Normal")</f>
        <v>Normal</v>
      </c>
      <c r="E128">
        <v>14038</v>
      </c>
      <c r="F128" t="str">
        <f>IF(Table2_2[[#This Row],[Reviews]]&gt;$N$13,"Outlier"," Normal")</f>
        <v xml:space="preserve"> Normal</v>
      </c>
      <c r="G128">
        <v>4</v>
      </c>
      <c r="H128" t="str">
        <f>IF(Table2_2[[#This Row],[Price]]&gt;$N$20,"Outlier","Normal")</f>
        <v>Normal</v>
      </c>
      <c r="I128">
        <v>2018</v>
      </c>
      <c r="J128" t="str">
        <f>IF(Table2_2[[#This Row],[Year]]&gt;=2015,"Newer","Older")</f>
        <v>Newer</v>
      </c>
      <c r="K128" s="1" t="s">
        <v>11</v>
      </c>
    </row>
    <row r="129" spans="1:11" x14ac:dyDescent="0.35">
      <c r="A129" s="1" t="s">
        <v>176</v>
      </c>
      <c r="B129" s="1" t="s">
        <v>177</v>
      </c>
      <c r="C129">
        <v>4.8</v>
      </c>
      <c r="D129" t="str">
        <f>IF(Table2_2[[#This Row],[User_Rating]]&lt;4.164816,"Outlier","Normal")</f>
        <v>Normal</v>
      </c>
      <c r="E129">
        <v>14038</v>
      </c>
      <c r="F129" t="str">
        <f>IF(Table2_2[[#This Row],[Reviews]]&gt;$N$13,"Outlier"," Normal")</f>
        <v xml:space="preserve"> Normal</v>
      </c>
      <c r="G129">
        <v>4</v>
      </c>
      <c r="H129" t="str">
        <f>IF(Table2_2[[#This Row],[Price]]&gt;$N$20,"Outlier","Normal")</f>
        <v>Normal</v>
      </c>
      <c r="I129">
        <v>2019</v>
      </c>
      <c r="J129" t="str">
        <f>IF(Table2_2[[#This Row],[Year]]&gt;=2015,"Newer","Older")</f>
        <v>Newer</v>
      </c>
      <c r="K129" s="1" t="s">
        <v>11</v>
      </c>
    </row>
    <row r="130" spans="1:11" x14ac:dyDescent="0.35">
      <c r="A130" s="1" t="s">
        <v>178</v>
      </c>
      <c r="B130" s="1" t="s">
        <v>179</v>
      </c>
      <c r="C130">
        <v>4.5999999999999996</v>
      </c>
      <c r="D130" t="str">
        <f>IF(Table2_2[[#This Row],[User_Rating]]&lt;4.164816,"Outlier","Normal")</f>
        <v>Normal</v>
      </c>
      <c r="E130">
        <v>7660</v>
      </c>
      <c r="F130" t="str">
        <f>IF(Table2_2[[#This Row],[Reviews]]&gt;$N$13,"Outlier"," Normal")</f>
        <v xml:space="preserve"> Normal</v>
      </c>
      <c r="G130">
        <v>12</v>
      </c>
      <c r="H130" t="str">
        <f>IF(Table2_2[[#This Row],[Price]]&gt;$N$20,"Outlier","Normal")</f>
        <v>Normal</v>
      </c>
      <c r="I130">
        <v>2019</v>
      </c>
      <c r="J130" t="str">
        <f>IF(Table2_2[[#This Row],[Year]]&gt;=2015,"Newer","Older")</f>
        <v>Newer</v>
      </c>
      <c r="K130" s="1" t="s">
        <v>8</v>
      </c>
    </row>
    <row r="131" spans="1:11" x14ac:dyDescent="0.35">
      <c r="A131" s="1" t="s">
        <v>180</v>
      </c>
      <c r="B131" s="1" t="s">
        <v>179</v>
      </c>
      <c r="C131">
        <v>4.5999999999999996</v>
      </c>
      <c r="D131" t="str">
        <f>IF(Table2_2[[#This Row],[User_Rating]]&lt;4.164816,"Outlier","Normal")</f>
        <v>Normal</v>
      </c>
      <c r="E131">
        <v>22288</v>
      </c>
      <c r="F131" t="str">
        <f>IF(Table2_2[[#This Row],[Reviews]]&gt;$N$13,"Outlier"," Normal")</f>
        <v xml:space="preserve"> Normal</v>
      </c>
      <c r="G131">
        <v>12</v>
      </c>
      <c r="H131" t="str">
        <f>IF(Table2_2[[#This Row],[Price]]&gt;$N$20,"Outlier","Normal")</f>
        <v>Normal</v>
      </c>
      <c r="I131">
        <v>2018</v>
      </c>
      <c r="J131" t="str">
        <f>IF(Table2_2[[#This Row],[Year]]&gt;=2015,"Newer","Older")</f>
        <v>Newer</v>
      </c>
      <c r="K131" s="1" t="s">
        <v>8</v>
      </c>
    </row>
    <row r="132" spans="1:11" x14ac:dyDescent="0.35">
      <c r="A132" s="1" t="s">
        <v>180</v>
      </c>
      <c r="B132" s="1" t="s">
        <v>179</v>
      </c>
      <c r="C132">
        <v>4.5999999999999996</v>
      </c>
      <c r="D132" t="str">
        <f>IF(Table2_2[[#This Row],[User_Rating]]&lt;4.164816,"Outlier","Normal")</f>
        <v>Normal</v>
      </c>
      <c r="E132">
        <v>22288</v>
      </c>
      <c r="F132" t="str">
        <f>IF(Table2_2[[#This Row],[Reviews]]&gt;$N$13,"Outlier"," Normal")</f>
        <v xml:space="preserve"> Normal</v>
      </c>
      <c r="G132">
        <v>12</v>
      </c>
      <c r="H132" t="str">
        <f>IF(Table2_2[[#This Row],[Price]]&gt;$N$20,"Outlier","Normal")</f>
        <v>Normal</v>
      </c>
      <c r="I132">
        <v>2019</v>
      </c>
      <c r="J132" t="str">
        <f>IF(Table2_2[[#This Row],[Year]]&gt;=2015,"Newer","Older")</f>
        <v>Newer</v>
      </c>
      <c r="K132" s="1" t="s">
        <v>8</v>
      </c>
    </row>
    <row r="133" spans="1:11" x14ac:dyDescent="0.35">
      <c r="A133" s="1" t="s">
        <v>181</v>
      </c>
      <c r="B133" s="1" t="s">
        <v>53</v>
      </c>
      <c r="C133">
        <v>4.5999999999999996</v>
      </c>
      <c r="D133" t="str">
        <f>IF(Table2_2[[#This Row],[User_Rating]]&lt;4.164816,"Outlier","Normal")</f>
        <v>Normal</v>
      </c>
      <c r="E133">
        <v>1365</v>
      </c>
      <c r="F133" t="str">
        <f>IF(Table2_2[[#This Row],[Reviews]]&gt;$N$13,"Outlier"," Normal")</f>
        <v xml:space="preserve"> Normal</v>
      </c>
      <c r="G133">
        <v>11</v>
      </c>
      <c r="H133" t="str">
        <f>IF(Table2_2[[#This Row],[Price]]&gt;$N$20,"Outlier","Normal")</f>
        <v>Normal</v>
      </c>
      <c r="I133">
        <v>2009</v>
      </c>
      <c r="J133" t="str">
        <f>IF(Table2_2[[#This Row],[Year]]&gt;=2015,"Newer","Older")</f>
        <v>Older</v>
      </c>
      <c r="K133" s="1" t="s">
        <v>8</v>
      </c>
    </row>
    <row r="134" spans="1:11" x14ac:dyDescent="0.35">
      <c r="A134" s="1" t="s">
        <v>182</v>
      </c>
      <c r="B134" s="1" t="s">
        <v>183</v>
      </c>
      <c r="C134">
        <v>3.6</v>
      </c>
      <c r="D134" t="str">
        <f>IF(Table2_2[[#This Row],[User_Rating]]&lt;4.164816,"Outlier","Normal")</f>
        <v>Outlier</v>
      </c>
      <c r="E134">
        <v>14982</v>
      </c>
      <c r="F134" t="str">
        <f>IF(Table2_2[[#This Row],[Reviews]]&gt;$N$13,"Outlier"," Normal")</f>
        <v xml:space="preserve"> Normal</v>
      </c>
      <c r="G134">
        <v>19</v>
      </c>
      <c r="H134" t="str">
        <f>IF(Table2_2[[#This Row],[Price]]&gt;$N$20,"Outlier","Normal")</f>
        <v>Normal</v>
      </c>
      <c r="I134">
        <v>2015</v>
      </c>
      <c r="J134" t="str">
        <f>IF(Table2_2[[#This Row],[Year]]&gt;=2015,"Newer","Older")</f>
        <v>Newer</v>
      </c>
      <c r="K134" s="1" t="s">
        <v>11</v>
      </c>
    </row>
    <row r="135" spans="1:11" x14ac:dyDescent="0.35">
      <c r="A135" s="1" t="s">
        <v>184</v>
      </c>
      <c r="B135" s="1" t="s">
        <v>185</v>
      </c>
      <c r="C135">
        <v>4.8</v>
      </c>
      <c r="D135" t="str">
        <f>IF(Table2_2[[#This Row],[User_Rating]]&lt;4.164816,"Outlier","Normal")</f>
        <v>Normal</v>
      </c>
      <c r="E135">
        <v>9568</v>
      </c>
      <c r="F135" t="str">
        <f>IF(Table2_2[[#This Row],[Reviews]]&gt;$N$13,"Outlier"," Normal")</f>
        <v xml:space="preserve"> Normal</v>
      </c>
      <c r="G135">
        <v>9</v>
      </c>
      <c r="H135" t="str">
        <f>IF(Table2_2[[#This Row],[Price]]&gt;$N$20,"Outlier","Normal")</f>
        <v>Normal</v>
      </c>
      <c r="I135">
        <v>2011</v>
      </c>
      <c r="J135" t="str">
        <f>IF(Table2_2[[#This Row],[Year]]&gt;=2015,"Newer","Older")</f>
        <v>Older</v>
      </c>
      <c r="K135" s="1" t="s">
        <v>11</v>
      </c>
    </row>
    <row r="136" spans="1:11" x14ac:dyDescent="0.35">
      <c r="A136" s="1" t="s">
        <v>186</v>
      </c>
      <c r="B136" s="1" t="s">
        <v>187</v>
      </c>
      <c r="C136">
        <v>4.5999999999999996</v>
      </c>
      <c r="D136" t="str">
        <f>IF(Table2_2[[#This Row],[User_Rating]]&lt;4.164816,"Outlier","Normal")</f>
        <v>Normal</v>
      </c>
      <c r="E136">
        <v>1636</v>
      </c>
      <c r="F136" t="str">
        <f>IF(Table2_2[[#This Row],[Reviews]]&gt;$N$13,"Outlier"," Normal")</f>
        <v xml:space="preserve"> Normal</v>
      </c>
      <c r="G136">
        <v>6</v>
      </c>
      <c r="H136" t="str">
        <f>IF(Table2_2[[#This Row],[Price]]&gt;$N$20,"Outlier","Normal")</f>
        <v>Normal</v>
      </c>
      <c r="I136">
        <v>2009</v>
      </c>
      <c r="J136" t="str">
        <f>IF(Table2_2[[#This Row],[Year]]&gt;=2015,"Newer","Older")</f>
        <v>Older</v>
      </c>
      <c r="K136" s="1" t="s">
        <v>8</v>
      </c>
    </row>
    <row r="137" spans="1:11" x14ac:dyDescent="0.35">
      <c r="A137" s="1" t="s">
        <v>188</v>
      </c>
      <c r="B137" s="1" t="s">
        <v>189</v>
      </c>
      <c r="C137">
        <v>4</v>
      </c>
      <c r="D137" t="str">
        <f>IF(Table2_2[[#This Row],[User_Rating]]&lt;4.164816,"Outlier","Normal")</f>
        <v>Outlier</v>
      </c>
      <c r="E137">
        <v>57271</v>
      </c>
      <c r="F137" t="str">
        <f>IF(Table2_2[[#This Row],[Reviews]]&gt;$N$13,"Outlier"," Normal")</f>
        <v>Outlier</v>
      </c>
      <c r="G137">
        <v>10</v>
      </c>
      <c r="H137" t="str">
        <f>IF(Table2_2[[#This Row],[Price]]&gt;$N$20,"Outlier","Normal")</f>
        <v>Normal</v>
      </c>
      <c r="I137">
        <v>2012</v>
      </c>
      <c r="J137" t="str">
        <f>IF(Table2_2[[#This Row],[Year]]&gt;=2015,"Newer","Older")</f>
        <v>Older</v>
      </c>
      <c r="K137" s="1" t="s">
        <v>11</v>
      </c>
    </row>
    <row r="138" spans="1:11" x14ac:dyDescent="0.35">
      <c r="A138" s="1" t="s">
        <v>188</v>
      </c>
      <c r="B138" s="1" t="s">
        <v>189</v>
      </c>
      <c r="C138">
        <v>4</v>
      </c>
      <c r="D138" t="str">
        <f>IF(Table2_2[[#This Row],[User_Rating]]&lt;4.164816,"Outlier","Normal")</f>
        <v>Outlier</v>
      </c>
      <c r="E138">
        <v>57271</v>
      </c>
      <c r="F138" t="str">
        <f>IF(Table2_2[[#This Row],[Reviews]]&gt;$N$13,"Outlier"," Normal")</f>
        <v>Outlier</v>
      </c>
      <c r="G138">
        <v>10</v>
      </c>
      <c r="H138" t="str">
        <f>IF(Table2_2[[#This Row],[Price]]&gt;$N$20,"Outlier","Normal")</f>
        <v>Normal</v>
      </c>
      <c r="I138">
        <v>2013</v>
      </c>
      <c r="J138" t="str">
        <f>IF(Table2_2[[#This Row],[Year]]&gt;=2015,"Newer","Older")</f>
        <v>Older</v>
      </c>
      <c r="K138" s="1" t="s">
        <v>11</v>
      </c>
    </row>
    <row r="139" spans="1:11" x14ac:dyDescent="0.35">
      <c r="A139" s="1" t="s">
        <v>188</v>
      </c>
      <c r="B139" s="1" t="s">
        <v>189</v>
      </c>
      <c r="C139">
        <v>4</v>
      </c>
      <c r="D139" t="str">
        <f>IF(Table2_2[[#This Row],[User_Rating]]&lt;4.164816,"Outlier","Normal")</f>
        <v>Outlier</v>
      </c>
      <c r="E139">
        <v>57271</v>
      </c>
      <c r="F139" t="str">
        <f>IF(Table2_2[[#This Row],[Reviews]]&gt;$N$13,"Outlier"," Normal")</f>
        <v>Outlier</v>
      </c>
      <c r="G139">
        <v>9</v>
      </c>
      <c r="H139" t="str">
        <f>IF(Table2_2[[#This Row],[Price]]&gt;$N$20,"Outlier","Normal")</f>
        <v>Normal</v>
      </c>
      <c r="I139">
        <v>2014</v>
      </c>
      <c r="J139" t="str">
        <f>IF(Table2_2[[#This Row],[Year]]&gt;=2015,"Newer","Older")</f>
        <v>Older</v>
      </c>
      <c r="K139" s="1" t="s">
        <v>11</v>
      </c>
    </row>
    <row r="140" spans="1:11" x14ac:dyDescent="0.35">
      <c r="A140" s="1" t="s">
        <v>190</v>
      </c>
      <c r="B140" s="1" t="s">
        <v>191</v>
      </c>
      <c r="C140">
        <v>4.5999999999999996</v>
      </c>
      <c r="D140" t="str">
        <f>IF(Table2_2[[#This Row],[User_Rating]]&lt;4.164816,"Outlier","Normal")</f>
        <v>Normal</v>
      </c>
      <c r="E140">
        <v>10141</v>
      </c>
      <c r="F140" t="str">
        <f>IF(Table2_2[[#This Row],[Reviews]]&gt;$N$13,"Outlier"," Normal")</f>
        <v xml:space="preserve"> Normal</v>
      </c>
      <c r="G140">
        <v>6</v>
      </c>
      <c r="H140" t="str">
        <f>IF(Table2_2[[#This Row],[Price]]&gt;$N$20,"Outlier","Normal")</f>
        <v>Normal</v>
      </c>
      <c r="I140">
        <v>2019</v>
      </c>
      <c r="J140" t="str">
        <f>IF(Table2_2[[#This Row],[Year]]&gt;=2015,"Newer","Older")</f>
        <v>Newer</v>
      </c>
      <c r="K140" s="1" t="s">
        <v>8</v>
      </c>
    </row>
    <row r="141" spans="1:11" x14ac:dyDescent="0.35">
      <c r="A141" s="1" t="s">
        <v>192</v>
      </c>
      <c r="B141" s="1" t="s">
        <v>193</v>
      </c>
      <c r="C141">
        <v>4.5</v>
      </c>
      <c r="D141" t="str">
        <f>IF(Table2_2[[#This Row],[User_Rating]]&lt;4.164816,"Outlier","Normal")</f>
        <v>Normal</v>
      </c>
      <c r="E141">
        <v>3457</v>
      </c>
      <c r="F141" t="str">
        <f>IF(Table2_2[[#This Row],[Reviews]]&gt;$N$13,"Outlier"," Normal")</f>
        <v xml:space="preserve"> Normal</v>
      </c>
      <c r="G141">
        <v>14</v>
      </c>
      <c r="H141" t="str">
        <f>IF(Table2_2[[#This Row],[Price]]&gt;$N$20,"Outlier","Normal")</f>
        <v>Normal</v>
      </c>
      <c r="I141">
        <v>2009</v>
      </c>
      <c r="J141" t="str">
        <f>IF(Table2_2[[#This Row],[Year]]&gt;=2015,"Newer","Older")</f>
        <v>Older</v>
      </c>
      <c r="K141" s="1" t="s">
        <v>8</v>
      </c>
    </row>
    <row r="142" spans="1:11" x14ac:dyDescent="0.35">
      <c r="A142" s="1" t="s">
        <v>192</v>
      </c>
      <c r="B142" s="1" t="s">
        <v>193</v>
      </c>
      <c r="C142">
        <v>4.5</v>
      </c>
      <c r="D142" t="str">
        <f>IF(Table2_2[[#This Row],[User_Rating]]&lt;4.164816,"Outlier","Normal")</f>
        <v>Normal</v>
      </c>
      <c r="E142">
        <v>3457</v>
      </c>
      <c r="F142" t="str">
        <f>IF(Table2_2[[#This Row],[Reviews]]&gt;$N$13,"Outlier"," Normal")</f>
        <v xml:space="preserve"> Normal</v>
      </c>
      <c r="G142">
        <v>14</v>
      </c>
      <c r="H142" t="str">
        <f>IF(Table2_2[[#This Row],[Price]]&gt;$N$20,"Outlier","Normal")</f>
        <v>Normal</v>
      </c>
      <c r="I142">
        <v>2010</v>
      </c>
      <c r="J142" t="str">
        <f>IF(Table2_2[[#This Row],[Year]]&gt;=2015,"Newer","Older")</f>
        <v>Older</v>
      </c>
      <c r="K142" s="1" t="s">
        <v>8</v>
      </c>
    </row>
    <row r="143" spans="1:11" x14ac:dyDescent="0.35">
      <c r="A143" s="1" t="s">
        <v>192</v>
      </c>
      <c r="B143" s="1" t="s">
        <v>193</v>
      </c>
      <c r="C143">
        <v>4.5</v>
      </c>
      <c r="D143" t="str">
        <f>IF(Table2_2[[#This Row],[User_Rating]]&lt;4.164816,"Outlier","Normal")</f>
        <v>Normal</v>
      </c>
      <c r="E143">
        <v>3457</v>
      </c>
      <c r="F143" t="str">
        <f>IF(Table2_2[[#This Row],[Reviews]]&gt;$N$13,"Outlier"," Normal")</f>
        <v xml:space="preserve"> Normal</v>
      </c>
      <c r="G143">
        <v>14</v>
      </c>
      <c r="H143" t="str">
        <f>IF(Table2_2[[#This Row],[Price]]&gt;$N$20,"Outlier","Normal")</f>
        <v>Normal</v>
      </c>
      <c r="I143">
        <v>2011</v>
      </c>
      <c r="J143" t="str">
        <f>IF(Table2_2[[#This Row],[Year]]&gt;=2015,"Newer","Older")</f>
        <v>Older</v>
      </c>
      <c r="K143" s="1" t="s">
        <v>8</v>
      </c>
    </row>
    <row r="144" spans="1:11" x14ac:dyDescent="0.35">
      <c r="A144" s="1" t="s">
        <v>192</v>
      </c>
      <c r="B144" s="1" t="s">
        <v>193</v>
      </c>
      <c r="C144">
        <v>4.5</v>
      </c>
      <c r="D144" t="str">
        <f>IF(Table2_2[[#This Row],[User_Rating]]&lt;4.164816,"Outlier","Normal")</f>
        <v>Normal</v>
      </c>
      <c r="E144">
        <v>3457</v>
      </c>
      <c r="F144" t="str">
        <f>IF(Table2_2[[#This Row],[Reviews]]&gt;$N$13,"Outlier"," Normal")</f>
        <v xml:space="preserve"> Normal</v>
      </c>
      <c r="G144">
        <v>14</v>
      </c>
      <c r="H144" t="str">
        <f>IF(Table2_2[[#This Row],[Price]]&gt;$N$20,"Outlier","Normal")</f>
        <v>Normal</v>
      </c>
      <c r="I144">
        <v>2012</v>
      </c>
      <c r="J144" t="str">
        <f>IF(Table2_2[[#This Row],[Year]]&gt;=2015,"Newer","Older")</f>
        <v>Older</v>
      </c>
      <c r="K144" s="1" t="s">
        <v>8</v>
      </c>
    </row>
    <row r="145" spans="1:11" x14ac:dyDescent="0.35">
      <c r="A145" s="1" t="s">
        <v>194</v>
      </c>
      <c r="B145" s="1" t="s">
        <v>195</v>
      </c>
      <c r="C145">
        <v>4.8</v>
      </c>
      <c r="D145" t="str">
        <f>IF(Table2_2[[#This Row],[User_Rating]]&lt;4.164816,"Outlier","Normal")</f>
        <v>Normal</v>
      </c>
      <c r="E145">
        <v>8837</v>
      </c>
      <c r="F145" t="str">
        <f>IF(Table2_2[[#This Row],[Reviews]]&gt;$N$13,"Outlier"," Normal")</f>
        <v xml:space="preserve"> Normal</v>
      </c>
      <c r="G145">
        <v>5</v>
      </c>
      <c r="H145" t="str">
        <f>IF(Table2_2[[#This Row],[Price]]&gt;$N$20,"Outlier","Normal")</f>
        <v>Normal</v>
      </c>
      <c r="I145">
        <v>2017</v>
      </c>
      <c r="J145" t="str">
        <f>IF(Table2_2[[#This Row],[Year]]&gt;=2015,"Newer","Older")</f>
        <v>Newer</v>
      </c>
      <c r="K145" s="1" t="s">
        <v>11</v>
      </c>
    </row>
    <row r="146" spans="1:11" x14ac:dyDescent="0.35">
      <c r="A146" s="1" t="s">
        <v>194</v>
      </c>
      <c r="B146" s="1" t="s">
        <v>195</v>
      </c>
      <c r="C146">
        <v>4.8</v>
      </c>
      <c r="D146" t="str">
        <f>IF(Table2_2[[#This Row],[User_Rating]]&lt;4.164816,"Outlier","Normal")</f>
        <v>Normal</v>
      </c>
      <c r="E146">
        <v>8837</v>
      </c>
      <c r="F146" t="str">
        <f>IF(Table2_2[[#This Row],[Reviews]]&gt;$N$13,"Outlier"," Normal")</f>
        <v xml:space="preserve"> Normal</v>
      </c>
      <c r="G146">
        <v>5</v>
      </c>
      <c r="H146" t="str">
        <f>IF(Table2_2[[#This Row],[Price]]&gt;$N$20,"Outlier","Normal")</f>
        <v>Normal</v>
      </c>
      <c r="I146">
        <v>2018</v>
      </c>
      <c r="J146" t="str">
        <f>IF(Table2_2[[#This Row],[Year]]&gt;=2015,"Newer","Older")</f>
        <v>Newer</v>
      </c>
      <c r="K146" s="1" t="s">
        <v>11</v>
      </c>
    </row>
    <row r="147" spans="1:11" x14ac:dyDescent="0.35">
      <c r="A147" s="1" t="s">
        <v>194</v>
      </c>
      <c r="B147" s="1" t="s">
        <v>195</v>
      </c>
      <c r="C147">
        <v>4.8</v>
      </c>
      <c r="D147" t="str">
        <f>IF(Table2_2[[#This Row],[User_Rating]]&lt;4.164816,"Outlier","Normal")</f>
        <v>Normal</v>
      </c>
      <c r="E147">
        <v>8837</v>
      </c>
      <c r="F147" t="str">
        <f>IF(Table2_2[[#This Row],[Reviews]]&gt;$N$13,"Outlier"," Normal")</f>
        <v xml:space="preserve"> Normal</v>
      </c>
      <c r="G147">
        <v>5</v>
      </c>
      <c r="H147" t="str">
        <f>IF(Table2_2[[#This Row],[Price]]&gt;$N$20,"Outlier","Normal")</f>
        <v>Normal</v>
      </c>
      <c r="I147">
        <v>2019</v>
      </c>
      <c r="J147" t="str">
        <f>IF(Table2_2[[#This Row],[Year]]&gt;=2015,"Newer","Older")</f>
        <v>Newer</v>
      </c>
      <c r="K147" s="1" t="s">
        <v>11</v>
      </c>
    </row>
    <row r="148" spans="1:11" x14ac:dyDescent="0.35">
      <c r="A148" s="1" t="s">
        <v>196</v>
      </c>
      <c r="B148" s="1" t="s">
        <v>197</v>
      </c>
      <c r="C148">
        <v>4.9000000000000004</v>
      </c>
      <c r="D148" t="str">
        <f>IF(Table2_2[[#This Row],[User_Rating]]&lt;4.164816,"Outlier","Normal")</f>
        <v>Normal</v>
      </c>
      <c r="E148">
        <v>7038</v>
      </c>
      <c r="F148" t="str">
        <f>IF(Table2_2[[#This Row],[Reviews]]&gt;$N$13,"Outlier"," Normal")</f>
        <v xml:space="preserve"> Normal</v>
      </c>
      <c r="G148">
        <v>7</v>
      </c>
      <c r="H148" t="str">
        <f>IF(Table2_2[[#This Row],[Price]]&gt;$N$20,"Outlier","Normal")</f>
        <v>Normal</v>
      </c>
      <c r="I148">
        <v>2012</v>
      </c>
      <c r="J148" t="str">
        <f>IF(Table2_2[[#This Row],[Year]]&gt;=2015,"Newer","Older")</f>
        <v>Older</v>
      </c>
      <c r="K148" s="1" t="s">
        <v>11</v>
      </c>
    </row>
    <row r="149" spans="1:11" x14ac:dyDescent="0.35">
      <c r="A149" s="1" t="s">
        <v>196</v>
      </c>
      <c r="B149" s="1" t="s">
        <v>197</v>
      </c>
      <c r="C149">
        <v>4.9000000000000004</v>
      </c>
      <c r="D149" t="str">
        <f>IF(Table2_2[[#This Row],[User_Rating]]&lt;4.164816,"Outlier","Normal")</f>
        <v>Normal</v>
      </c>
      <c r="E149">
        <v>7038</v>
      </c>
      <c r="F149" t="str">
        <f>IF(Table2_2[[#This Row],[Reviews]]&gt;$N$13,"Outlier"," Normal")</f>
        <v xml:space="preserve"> Normal</v>
      </c>
      <c r="G149">
        <v>7</v>
      </c>
      <c r="H149" t="str">
        <f>IF(Table2_2[[#This Row],[Price]]&gt;$N$20,"Outlier","Normal")</f>
        <v>Normal</v>
      </c>
      <c r="I149">
        <v>2013</v>
      </c>
      <c r="J149" t="str">
        <f>IF(Table2_2[[#This Row],[Year]]&gt;=2015,"Newer","Older")</f>
        <v>Older</v>
      </c>
      <c r="K149" s="1" t="s">
        <v>11</v>
      </c>
    </row>
    <row r="150" spans="1:11" x14ac:dyDescent="0.35">
      <c r="A150" s="1" t="s">
        <v>198</v>
      </c>
      <c r="B150" s="1" t="s">
        <v>199</v>
      </c>
      <c r="C150">
        <v>4.5999999999999996</v>
      </c>
      <c r="D150" t="str">
        <f>IF(Table2_2[[#This Row],[User_Rating]]&lt;4.164816,"Outlier","Normal")</f>
        <v>Normal</v>
      </c>
      <c r="E150">
        <v>5972</v>
      </c>
      <c r="F150" t="str">
        <f>IF(Table2_2[[#This Row],[Reviews]]&gt;$N$13,"Outlier"," Normal")</f>
        <v xml:space="preserve"> Normal</v>
      </c>
      <c r="G150">
        <v>10</v>
      </c>
      <c r="H150" t="str">
        <f>IF(Table2_2[[#This Row],[Price]]&gt;$N$20,"Outlier","Normal")</f>
        <v>Normal</v>
      </c>
      <c r="I150">
        <v>2014</v>
      </c>
      <c r="J150" t="str">
        <f>IF(Table2_2[[#This Row],[Year]]&gt;=2015,"Newer","Older")</f>
        <v>Older</v>
      </c>
      <c r="K150" s="1" t="s">
        <v>8</v>
      </c>
    </row>
    <row r="151" spans="1:11" x14ac:dyDescent="0.35">
      <c r="A151" s="1" t="s">
        <v>200</v>
      </c>
      <c r="B151" s="1" t="s">
        <v>156</v>
      </c>
      <c r="C151">
        <v>4.4000000000000004</v>
      </c>
      <c r="D151" t="str">
        <f>IF(Table2_2[[#This Row],[User_Rating]]&lt;4.164816,"Outlier","Normal")</f>
        <v>Normal</v>
      </c>
      <c r="E151">
        <v>25624</v>
      </c>
      <c r="F151" t="str">
        <f>IF(Table2_2[[#This Row],[Reviews]]&gt;$N$13,"Outlier"," Normal")</f>
        <v xml:space="preserve"> Normal</v>
      </c>
      <c r="G151">
        <v>14</v>
      </c>
      <c r="H151" t="str">
        <f>IF(Table2_2[[#This Row],[Price]]&gt;$N$20,"Outlier","Normal")</f>
        <v>Normal</v>
      </c>
      <c r="I151">
        <v>2015</v>
      </c>
      <c r="J151" t="str">
        <f>IF(Table2_2[[#This Row],[Year]]&gt;=2015,"Newer","Older")</f>
        <v>Newer</v>
      </c>
      <c r="K151" s="1" t="s">
        <v>11</v>
      </c>
    </row>
    <row r="152" spans="1:11" x14ac:dyDescent="0.35">
      <c r="A152" s="1" t="s">
        <v>201</v>
      </c>
      <c r="B152" s="1" t="s">
        <v>202</v>
      </c>
      <c r="C152">
        <v>4.8</v>
      </c>
      <c r="D152" t="str">
        <f>IF(Table2_2[[#This Row],[User_Rating]]&lt;4.164816,"Outlier","Normal")</f>
        <v>Normal</v>
      </c>
      <c r="E152">
        <v>5476</v>
      </c>
      <c r="F152" t="str">
        <f>IF(Table2_2[[#This Row],[Reviews]]&gt;$N$13,"Outlier"," Normal")</f>
        <v xml:space="preserve"> Normal</v>
      </c>
      <c r="G152">
        <v>7</v>
      </c>
      <c r="H152" t="str">
        <f>IF(Table2_2[[#This Row],[Price]]&gt;$N$20,"Outlier","Normal")</f>
        <v>Normal</v>
      </c>
      <c r="I152">
        <v>2019</v>
      </c>
      <c r="J152" t="str">
        <f>IF(Table2_2[[#This Row],[Year]]&gt;=2015,"Newer","Older")</f>
        <v>Newer</v>
      </c>
      <c r="K152" s="1" t="s">
        <v>8</v>
      </c>
    </row>
    <row r="153" spans="1:11" x14ac:dyDescent="0.35">
      <c r="A153" s="1" t="s">
        <v>203</v>
      </c>
      <c r="B153" s="1" t="s">
        <v>204</v>
      </c>
      <c r="C153">
        <v>4.9000000000000004</v>
      </c>
      <c r="D153" t="str">
        <f>IF(Table2_2[[#This Row],[User_Rating]]&lt;4.164816,"Outlier","Normal")</f>
        <v>Normal</v>
      </c>
      <c r="E153">
        <v>5867</v>
      </c>
      <c r="F153" t="str">
        <f>IF(Table2_2[[#This Row],[Reviews]]&gt;$N$13,"Outlier"," Normal")</f>
        <v xml:space="preserve"> Normal</v>
      </c>
      <c r="G153">
        <v>54</v>
      </c>
      <c r="H153" t="str">
        <f>IF(Table2_2[[#This Row],[Price]]&gt;$N$20,"Outlier","Normal")</f>
        <v>Outlier</v>
      </c>
      <c r="I153">
        <v>2016</v>
      </c>
      <c r="J153" t="str">
        <f>IF(Table2_2[[#This Row],[Year]]&gt;=2015,"Newer","Older")</f>
        <v>Newer</v>
      </c>
      <c r="K153" s="1" t="s">
        <v>8</v>
      </c>
    </row>
    <row r="154" spans="1:11" x14ac:dyDescent="0.35">
      <c r="A154" s="1" t="s">
        <v>205</v>
      </c>
      <c r="B154" s="1" t="s">
        <v>206</v>
      </c>
      <c r="C154">
        <v>4.8</v>
      </c>
      <c r="D154" t="str">
        <f>IF(Table2_2[[#This Row],[User_Rating]]&lt;4.164816,"Outlier","Normal")</f>
        <v>Normal</v>
      </c>
      <c r="E154">
        <v>4148</v>
      </c>
      <c r="F154" t="str">
        <f>IF(Table2_2[[#This Row],[Reviews]]&gt;$N$13,"Outlier"," Normal")</f>
        <v xml:space="preserve"> Normal</v>
      </c>
      <c r="G154">
        <v>11</v>
      </c>
      <c r="H154" t="str">
        <f>IF(Table2_2[[#This Row],[Price]]&gt;$N$20,"Outlier","Normal")</f>
        <v>Normal</v>
      </c>
      <c r="I154">
        <v>2013</v>
      </c>
      <c r="J154" t="str">
        <f>IF(Table2_2[[#This Row],[Year]]&gt;=2015,"Newer","Older")</f>
        <v>Older</v>
      </c>
      <c r="K154" s="1" t="s">
        <v>8</v>
      </c>
    </row>
    <row r="155" spans="1:11" x14ac:dyDescent="0.35">
      <c r="A155" s="1" t="s">
        <v>207</v>
      </c>
      <c r="B155" s="1" t="s">
        <v>152</v>
      </c>
      <c r="C155">
        <v>4.9000000000000004</v>
      </c>
      <c r="D155" t="str">
        <f>IF(Table2_2[[#This Row],[User_Rating]]&lt;4.164816,"Outlier","Normal")</f>
        <v>Normal</v>
      </c>
      <c r="E155">
        <v>19622</v>
      </c>
      <c r="F155" t="str">
        <f>IF(Table2_2[[#This Row],[Reviews]]&gt;$N$13,"Outlier"," Normal")</f>
        <v xml:space="preserve"> Normal</v>
      </c>
      <c r="G155">
        <v>30</v>
      </c>
      <c r="H155" t="str">
        <f>IF(Table2_2[[#This Row],[Price]]&gt;$N$20,"Outlier","Normal")</f>
        <v>Normal</v>
      </c>
      <c r="I155">
        <v>2016</v>
      </c>
      <c r="J155" t="str">
        <f>IF(Table2_2[[#This Row],[Year]]&gt;=2015,"Newer","Older")</f>
        <v>Newer</v>
      </c>
      <c r="K155" s="1" t="s">
        <v>11</v>
      </c>
    </row>
    <row r="156" spans="1:11" x14ac:dyDescent="0.35">
      <c r="A156" s="1" t="s">
        <v>208</v>
      </c>
      <c r="B156" s="1" t="s">
        <v>152</v>
      </c>
      <c r="C156">
        <v>4</v>
      </c>
      <c r="D156" t="str">
        <f>IF(Table2_2[[#This Row],[User_Rating]]&lt;4.164816,"Outlier","Normal")</f>
        <v>Outlier</v>
      </c>
      <c r="E156">
        <v>23973</v>
      </c>
      <c r="F156" t="str">
        <f>IF(Table2_2[[#This Row],[Reviews]]&gt;$N$13,"Outlier"," Normal")</f>
        <v xml:space="preserve"> Normal</v>
      </c>
      <c r="G156">
        <v>12</v>
      </c>
      <c r="H156" t="str">
        <f>IF(Table2_2[[#This Row],[Price]]&gt;$N$20,"Outlier","Normal")</f>
        <v>Normal</v>
      </c>
      <c r="I156">
        <v>2016</v>
      </c>
      <c r="J156" t="str">
        <f>IF(Table2_2[[#This Row],[Year]]&gt;=2015,"Newer","Older")</f>
        <v>Newer</v>
      </c>
      <c r="K156" s="1" t="s">
        <v>11</v>
      </c>
    </row>
    <row r="157" spans="1:11" x14ac:dyDescent="0.35">
      <c r="A157" s="1" t="s">
        <v>209</v>
      </c>
      <c r="B157" s="1" t="s">
        <v>210</v>
      </c>
      <c r="C157">
        <v>4.9000000000000004</v>
      </c>
      <c r="D157" t="str">
        <f>IF(Table2_2[[#This Row],[User_Rating]]&lt;4.164816,"Outlier","Normal")</f>
        <v>Normal</v>
      </c>
      <c r="E157">
        <v>7758</v>
      </c>
      <c r="F157" t="str">
        <f>IF(Table2_2[[#This Row],[Reviews]]&gt;$N$13,"Outlier"," Normal")</f>
        <v xml:space="preserve"> Normal</v>
      </c>
      <c r="G157">
        <v>18</v>
      </c>
      <c r="H157" t="str">
        <f>IF(Table2_2[[#This Row],[Price]]&gt;$N$20,"Outlier","Normal")</f>
        <v>Normal</v>
      </c>
      <c r="I157">
        <v>2019</v>
      </c>
      <c r="J157" t="str">
        <f>IF(Table2_2[[#This Row],[Year]]&gt;=2015,"Newer","Older")</f>
        <v>Newer</v>
      </c>
      <c r="K157" s="1" t="s">
        <v>11</v>
      </c>
    </row>
    <row r="158" spans="1:11" x14ac:dyDescent="0.35">
      <c r="A158" s="1" t="s">
        <v>211</v>
      </c>
      <c r="B158" s="1" t="s">
        <v>152</v>
      </c>
      <c r="C158">
        <v>4.9000000000000004</v>
      </c>
      <c r="D158" t="str">
        <f>IF(Table2_2[[#This Row],[User_Rating]]&lt;4.164816,"Outlier","Normal")</f>
        <v>Normal</v>
      </c>
      <c r="E158">
        <v>3146</v>
      </c>
      <c r="F158" t="str">
        <f>IF(Table2_2[[#This Row],[Reviews]]&gt;$N$13,"Outlier"," Normal")</f>
        <v xml:space="preserve"> Normal</v>
      </c>
      <c r="G158">
        <v>30</v>
      </c>
      <c r="H158" t="str">
        <f>IF(Table2_2[[#This Row],[Price]]&gt;$N$20,"Outlier","Normal")</f>
        <v>Normal</v>
      </c>
      <c r="I158">
        <v>2017</v>
      </c>
      <c r="J158" t="str">
        <f>IF(Table2_2[[#This Row],[Year]]&gt;=2015,"Newer","Older")</f>
        <v>Newer</v>
      </c>
      <c r="K158" s="1" t="s">
        <v>11</v>
      </c>
    </row>
    <row r="159" spans="1:11" x14ac:dyDescent="0.35">
      <c r="A159" s="1" t="s">
        <v>212</v>
      </c>
      <c r="B159" s="1" t="s">
        <v>152</v>
      </c>
      <c r="C159">
        <v>4.9000000000000004</v>
      </c>
      <c r="D159" t="str">
        <f>IF(Table2_2[[#This Row],[User_Rating]]&lt;4.164816,"Outlier","Normal")</f>
        <v>Normal</v>
      </c>
      <c r="E159">
        <v>10052</v>
      </c>
      <c r="F159" t="str">
        <f>IF(Table2_2[[#This Row],[Reviews]]&gt;$N$13,"Outlier"," Normal")</f>
        <v xml:space="preserve"> Normal</v>
      </c>
      <c r="G159">
        <v>22</v>
      </c>
      <c r="H159" t="str">
        <f>IF(Table2_2[[#This Row],[Price]]&gt;$N$20,"Outlier","Normal")</f>
        <v>Normal</v>
      </c>
      <c r="I159">
        <v>2016</v>
      </c>
      <c r="J159" t="str">
        <f>IF(Table2_2[[#This Row],[Year]]&gt;=2015,"Newer","Older")</f>
        <v>Newer</v>
      </c>
      <c r="K159" s="1" t="s">
        <v>11</v>
      </c>
    </row>
    <row r="160" spans="1:11" x14ac:dyDescent="0.35">
      <c r="A160" s="1" t="s">
        <v>213</v>
      </c>
      <c r="B160" s="1" t="s">
        <v>214</v>
      </c>
      <c r="C160">
        <v>4.7</v>
      </c>
      <c r="D160" t="str">
        <f>IF(Table2_2[[#This Row],[User_Rating]]&lt;4.164816,"Outlier","Normal")</f>
        <v>Normal</v>
      </c>
      <c r="E160">
        <v>3564</v>
      </c>
      <c r="F160" t="str">
        <f>IF(Table2_2[[#This Row],[Reviews]]&gt;$N$13,"Outlier"," Normal")</f>
        <v xml:space="preserve"> Normal</v>
      </c>
      <c r="G160">
        <v>9</v>
      </c>
      <c r="H160" t="str">
        <f>IF(Table2_2[[#This Row],[Price]]&gt;$N$20,"Outlier","Normal")</f>
        <v>Normal</v>
      </c>
      <c r="I160">
        <v>2015</v>
      </c>
      <c r="J160" t="str">
        <f>IF(Table2_2[[#This Row],[Year]]&gt;=2015,"Newer","Older")</f>
        <v>Newer</v>
      </c>
      <c r="K160" s="1" t="s">
        <v>8</v>
      </c>
    </row>
    <row r="161" spans="1:11" x14ac:dyDescent="0.35">
      <c r="A161" s="1" t="s">
        <v>215</v>
      </c>
      <c r="B161" s="1" t="s">
        <v>210</v>
      </c>
      <c r="C161">
        <v>4.8</v>
      </c>
      <c r="D161" t="str">
        <f>IF(Table2_2[[#This Row],[User_Rating]]&lt;4.164816,"Outlier","Normal")</f>
        <v>Normal</v>
      </c>
      <c r="E161">
        <v>13471</v>
      </c>
      <c r="F161" t="str">
        <f>IF(Table2_2[[#This Row],[Reviews]]&gt;$N$13,"Outlier"," Normal")</f>
        <v xml:space="preserve"> Normal</v>
      </c>
      <c r="G161">
        <v>52</v>
      </c>
      <c r="H161" t="str">
        <f>IF(Table2_2[[#This Row],[Price]]&gt;$N$20,"Outlier","Normal")</f>
        <v>Outlier</v>
      </c>
      <c r="I161">
        <v>2016</v>
      </c>
      <c r="J161" t="str">
        <f>IF(Table2_2[[#This Row],[Year]]&gt;=2015,"Newer","Older")</f>
        <v>Newer</v>
      </c>
      <c r="K161" s="1" t="s">
        <v>11</v>
      </c>
    </row>
    <row r="162" spans="1:11" x14ac:dyDescent="0.35">
      <c r="A162" s="1" t="s">
        <v>216</v>
      </c>
      <c r="B162" s="1" t="s">
        <v>217</v>
      </c>
      <c r="C162">
        <v>4.8</v>
      </c>
      <c r="D162" t="str">
        <f>IF(Table2_2[[#This Row],[User_Rating]]&lt;4.164816,"Outlier","Normal")</f>
        <v>Normal</v>
      </c>
      <c r="E162">
        <v>1930</v>
      </c>
      <c r="F162" t="str">
        <f>IF(Table2_2[[#This Row],[Reviews]]&gt;$N$13,"Outlier"," Normal")</f>
        <v xml:space="preserve"> Normal</v>
      </c>
      <c r="G162">
        <v>4</v>
      </c>
      <c r="H162" t="str">
        <f>IF(Table2_2[[#This Row],[Price]]&gt;$N$20,"Outlier","Normal")</f>
        <v>Normal</v>
      </c>
      <c r="I162">
        <v>2009</v>
      </c>
      <c r="J162" t="str">
        <f>IF(Table2_2[[#This Row],[Year]]&gt;=2015,"Newer","Older")</f>
        <v>Older</v>
      </c>
      <c r="K162" s="1" t="s">
        <v>8</v>
      </c>
    </row>
    <row r="163" spans="1:11" x14ac:dyDescent="0.35">
      <c r="A163" s="1" t="s">
        <v>218</v>
      </c>
      <c r="B163" s="1" t="s">
        <v>219</v>
      </c>
      <c r="C163">
        <v>4.7</v>
      </c>
      <c r="D163" t="str">
        <f>IF(Table2_2[[#This Row],[User_Rating]]&lt;4.164816,"Outlier","Normal")</f>
        <v>Normal</v>
      </c>
      <c r="E163">
        <v>15779</v>
      </c>
      <c r="F163" t="str">
        <f>IF(Table2_2[[#This Row],[Reviews]]&gt;$N$13,"Outlier"," Normal")</f>
        <v xml:space="preserve"> Normal</v>
      </c>
      <c r="G163">
        <v>10</v>
      </c>
      <c r="H163" t="str">
        <f>IF(Table2_2[[#This Row],[Price]]&gt;$N$20,"Outlier","Normal")</f>
        <v>Normal</v>
      </c>
      <c r="I163">
        <v>2011</v>
      </c>
      <c r="J163" t="str">
        <f>IF(Table2_2[[#This Row],[Year]]&gt;=2015,"Newer","Older")</f>
        <v>Older</v>
      </c>
      <c r="K163" s="1" t="s">
        <v>8</v>
      </c>
    </row>
    <row r="164" spans="1:11" x14ac:dyDescent="0.35">
      <c r="A164" s="1" t="s">
        <v>218</v>
      </c>
      <c r="B164" s="1" t="s">
        <v>219</v>
      </c>
      <c r="C164">
        <v>4.7</v>
      </c>
      <c r="D164" t="str">
        <f>IF(Table2_2[[#This Row],[User_Rating]]&lt;4.164816,"Outlier","Normal")</f>
        <v>Normal</v>
      </c>
      <c r="E164">
        <v>15779</v>
      </c>
      <c r="F164" t="str">
        <f>IF(Table2_2[[#This Row],[Reviews]]&gt;$N$13,"Outlier"," Normal")</f>
        <v xml:space="preserve"> Normal</v>
      </c>
      <c r="G164">
        <v>10</v>
      </c>
      <c r="H164" t="str">
        <f>IF(Table2_2[[#This Row],[Price]]&gt;$N$20,"Outlier","Normal")</f>
        <v>Normal</v>
      </c>
      <c r="I164">
        <v>2012</v>
      </c>
      <c r="J164" t="str">
        <f>IF(Table2_2[[#This Row],[Year]]&gt;=2015,"Newer","Older")</f>
        <v>Older</v>
      </c>
      <c r="K164" s="1" t="s">
        <v>8</v>
      </c>
    </row>
    <row r="165" spans="1:11" x14ac:dyDescent="0.35">
      <c r="A165" s="1" t="s">
        <v>220</v>
      </c>
      <c r="B165" s="1" t="s">
        <v>221</v>
      </c>
      <c r="C165">
        <v>4.4000000000000004</v>
      </c>
      <c r="D165" t="str">
        <f>IF(Table2_2[[#This Row],[User_Rating]]&lt;4.164816,"Outlier","Normal")</f>
        <v>Normal</v>
      </c>
      <c r="E165">
        <v>15526</v>
      </c>
      <c r="F165" t="str">
        <f>IF(Table2_2[[#This Row],[Reviews]]&gt;$N$13,"Outlier"," Normal")</f>
        <v xml:space="preserve"> Normal</v>
      </c>
      <c r="G165">
        <v>14</v>
      </c>
      <c r="H165" t="str">
        <f>IF(Table2_2[[#This Row],[Price]]&gt;$N$20,"Outlier","Normal")</f>
        <v>Normal</v>
      </c>
      <c r="I165">
        <v>2016</v>
      </c>
      <c r="J165" t="str">
        <f>IF(Table2_2[[#This Row],[Year]]&gt;=2015,"Newer","Older")</f>
        <v>Newer</v>
      </c>
      <c r="K165" s="1" t="s">
        <v>8</v>
      </c>
    </row>
    <row r="166" spans="1:11" x14ac:dyDescent="0.35">
      <c r="A166" s="1" t="s">
        <v>220</v>
      </c>
      <c r="B166" s="1" t="s">
        <v>221</v>
      </c>
      <c r="C166">
        <v>4.4000000000000004</v>
      </c>
      <c r="D166" t="str">
        <f>IF(Table2_2[[#This Row],[User_Rating]]&lt;4.164816,"Outlier","Normal")</f>
        <v>Normal</v>
      </c>
      <c r="E166">
        <v>15526</v>
      </c>
      <c r="F166" t="str">
        <f>IF(Table2_2[[#This Row],[Reviews]]&gt;$N$13,"Outlier"," Normal")</f>
        <v xml:space="preserve"> Normal</v>
      </c>
      <c r="G166">
        <v>14</v>
      </c>
      <c r="H166" t="str">
        <f>IF(Table2_2[[#This Row],[Price]]&gt;$N$20,"Outlier","Normal")</f>
        <v>Normal</v>
      </c>
      <c r="I166">
        <v>2017</v>
      </c>
      <c r="J166" t="str">
        <f>IF(Table2_2[[#This Row],[Year]]&gt;=2015,"Newer","Older")</f>
        <v>Newer</v>
      </c>
      <c r="K166" s="1" t="s">
        <v>8</v>
      </c>
    </row>
    <row r="167" spans="1:11" x14ac:dyDescent="0.35">
      <c r="A167" s="1" t="s">
        <v>222</v>
      </c>
      <c r="B167" s="1" t="s">
        <v>223</v>
      </c>
      <c r="C167">
        <v>4.8</v>
      </c>
      <c r="D167" t="str">
        <f>IF(Table2_2[[#This Row],[User_Rating]]&lt;4.164816,"Outlier","Normal")</f>
        <v>Normal</v>
      </c>
      <c r="E167">
        <v>3776</v>
      </c>
      <c r="F167" t="str">
        <f>IF(Table2_2[[#This Row],[Reviews]]&gt;$N$13,"Outlier"," Normal")</f>
        <v xml:space="preserve"> Normal</v>
      </c>
      <c r="G167">
        <v>22</v>
      </c>
      <c r="H167" t="str">
        <f>IF(Table2_2[[#This Row],[Price]]&gt;$N$20,"Outlier","Normal")</f>
        <v>Normal</v>
      </c>
      <c r="I167">
        <v>2018</v>
      </c>
      <c r="J167" t="str">
        <f>IF(Table2_2[[#This Row],[Year]]&gt;=2015,"Newer","Older")</f>
        <v>Newer</v>
      </c>
      <c r="K167" s="1" t="s">
        <v>8</v>
      </c>
    </row>
    <row r="168" spans="1:11" x14ac:dyDescent="0.35">
      <c r="A168" s="1" t="s">
        <v>224</v>
      </c>
      <c r="B168" s="1" t="s">
        <v>225</v>
      </c>
      <c r="C168">
        <v>4.7</v>
      </c>
      <c r="D168" t="str">
        <f>IF(Table2_2[[#This Row],[User_Rating]]&lt;4.164816,"Outlier","Normal")</f>
        <v>Normal</v>
      </c>
      <c r="E168">
        <v>25001</v>
      </c>
      <c r="F168" t="str">
        <f>IF(Table2_2[[#This Row],[Reviews]]&gt;$N$13,"Outlier"," Normal")</f>
        <v xml:space="preserve"> Normal</v>
      </c>
      <c r="G168">
        <v>11</v>
      </c>
      <c r="H168" t="str">
        <f>IF(Table2_2[[#This Row],[Price]]&gt;$N$20,"Outlier","Normal")</f>
        <v>Normal</v>
      </c>
      <c r="I168">
        <v>2014</v>
      </c>
      <c r="J168" t="str">
        <f>IF(Table2_2[[#This Row],[Year]]&gt;=2015,"Newer","Older")</f>
        <v>Older</v>
      </c>
      <c r="K168" s="1" t="s">
        <v>8</v>
      </c>
    </row>
    <row r="169" spans="1:11" x14ac:dyDescent="0.35">
      <c r="A169" s="1" t="s">
        <v>224</v>
      </c>
      <c r="B169" s="1" t="s">
        <v>225</v>
      </c>
      <c r="C169">
        <v>4.7</v>
      </c>
      <c r="D169" t="str">
        <f>IF(Table2_2[[#This Row],[User_Rating]]&lt;4.164816,"Outlier","Normal")</f>
        <v>Normal</v>
      </c>
      <c r="E169">
        <v>25001</v>
      </c>
      <c r="F169" t="str">
        <f>IF(Table2_2[[#This Row],[Reviews]]&gt;$N$13,"Outlier"," Normal")</f>
        <v xml:space="preserve"> Normal</v>
      </c>
      <c r="G169">
        <v>11</v>
      </c>
      <c r="H169" t="str">
        <f>IF(Table2_2[[#This Row],[Price]]&gt;$N$20,"Outlier","Normal")</f>
        <v>Normal</v>
      </c>
      <c r="I169">
        <v>2015</v>
      </c>
      <c r="J169" t="str">
        <f>IF(Table2_2[[#This Row],[Year]]&gt;=2015,"Newer","Older")</f>
        <v>Newer</v>
      </c>
      <c r="K169" s="1" t="s">
        <v>8</v>
      </c>
    </row>
    <row r="170" spans="1:11" x14ac:dyDescent="0.35">
      <c r="A170" s="1" t="s">
        <v>224</v>
      </c>
      <c r="B170" s="1" t="s">
        <v>225</v>
      </c>
      <c r="C170">
        <v>4.7</v>
      </c>
      <c r="D170" t="str">
        <f>IF(Table2_2[[#This Row],[User_Rating]]&lt;4.164816,"Outlier","Normal")</f>
        <v>Normal</v>
      </c>
      <c r="E170">
        <v>25001</v>
      </c>
      <c r="F170" t="str">
        <f>IF(Table2_2[[#This Row],[Reviews]]&gt;$N$13,"Outlier"," Normal")</f>
        <v xml:space="preserve"> Normal</v>
      </c>
      <c r="G170">
        <v>11</v>
      </c>
      <c r="H170" t="str">
        <f>IF(Table2_2[[#This Row],[Price]]&gt;$N$20,"Outlier","Normal")</f>
        <v>Normal</v>
      </c>
      <c r="I170">
        <v>2016</v>
      </c>
      <c r="J170" t="str">
        <f>IF(Table2_2[[#This Row],[Year]]&gt;=2015,"Newer","Older")</f>
        <v>Newer</v>
      </c>
      <c r="K170" s="1" t="s">
        <v>8</v>
      </c>
    </row>
    <row r="171" spans="1:11" x14ac:dyDescent="0.35">
      <c r="A171" s="1" t="s">
        <v>224</v>
      </c>
      <c r="B171" s="1" t="s">
        <v>225</v>
      </c>
      <c r="C171">
        <v>4.7</v>
      </c>
      <c r="D171" t="str">
        <f>IF(Table2_2[[#This Row],[User_Rating]]&lt;4.164816,"Outlier","Normal")</f>
        <v>Normal</v>
      </c>
      <c r="E171">
        <v>25001</v>
      </c>
      <c r="F171" t="str">
        <f>IF(Table2_2[[#This Row],[Reviews]]&gt;$N$13,"Outlier"," Normal")</f>
        <v xml:space="preserve"> Normal</v>
      </c>
      <c r="G171">
        <v>11</v>
      </c>
      <c r="H171" t="str">
        <f>IF(Table2_2[[#This Row],[Price]]&gt;$N$20,"Outlier","Normal")</f>
        <v>Normal</v>
      </c>
      <c r="I171">
        <v>2017</v>
      </c>
      <c r="J171" t="str">
        <f>IF(Table2_2[[#This Row],[Year]]&gt;=2015,"Newer","Older")</f>
        <v>Newer</v>
      </c>
      <c r="K171" s="1" t="s">
        <v>8</v>
      </c>
    </row>
    <row r="172" spans="1:11" x14ac:dyDescent="0.35">
      <c r="A172" s="1" t="s">
        <v>224</v>
      </c>
      <c r="B172" s="1" t="s">
        <v>225</v>
      </c>
      <c r="C172">
        <v>4.7</v>
      </c>
      <c r="D172" t="str">
        <f>IF(Table2_2[[#This Row],[User_Rating]]&lt;4.164816,"Outlier","Normal")</f>
        <v>Normal</v>
      </c>
      <c r="E172">
        <v>25001</v>
      </c>
      <c r="F172" t="str">
        <f>IF(Table2_2[[#This Row],[Reviews]]&gt;$N$13,"Outlier"," Normal")</f>
        <v xml:space="preserve"> Normal</v>
      </c>
      <c r="G172">
        <v>11</v>
      </c>
      <c r="H172" t="str">
        <f>IF(Table2_2[[#This Row],[Price]]&gt;$N$20,"Outlier","Normal")</f>
        <v>Normal</v>
      </c>
      <c r="I172">
        <v>2018</v>
      </c>
      <c r="J172" t="str">
        <f>IF(Table2_2[[#This Row],[Year]]&gt;=2015,"Newer","Older")</f>
        <v>Newer</v>
      </c>
      <c r="K172" s="1" t="s">
        <v>8</v>
      </c>
    </row>
    <row r="173" spans="1:11" x14ac:dyDescent="0.35">
      <c r="A173" s="1" t="s">
        <v>226</v>
      </c>
      <c r="B173" s="1" t="s">
        <v>227</v>
      </c>
      <c r="C173">
        <v>4.3</v>
      </c>
      <c r="D173" t="str">
        <f>IF(Table2_2[[#This Row],[User_Rating]]&lt;4.164816,"Outlier","Normal")</f>
        <v>Normal</v>
      </c>
      <c r="E173">
        <v>5272</v>
      </c>
      <c r="F173" t="str">
        <f>IF(Table2_2[[#This Row],[Reviews]]&gt;$N$13,"Outlier"," Normal")</f>
        <v xml:space="preserve"> Normal</v>
      </c>
      <c r="G173">
        <v>16</v>
      </c>
      <c r="H173" t="str">
        <f>IF(Table2_2[[#This Row],[Price]]&gt;$N$20,"Outlier","Normal")</f>
        <v>Normal</v>
      </c>
      <c r="I173">
        <v>2019</v>
      </c>
      <c r="J173" t="str">
        <f>IF(Table2_2[[#This Row],[Year]]&gt;=2015,"Newer","Older")</f>
        <v>Newer</v>
      </c>
      <c r="K173" s="1" t="s">
        <v>8</v>
      </c>
    </row>
    <row r="174" spans="1:11" x14ac:dyDescent="0.35">
      <c r="A174" s="1" t="s">
        <v>228</v>
      </c>
      <c r="B174" s="1" t="s">
        <v>229</v>
      </c>
      <c r="C174">
        <v>4.8</v>
      </c>
      <c r="D174" t="str">
        <f>IF(Table2_2[[#This Row],[User_Rating]]&lt;4.164816,"Outlier","Normal")</f>
        <v>Normal</v>
      </c>
      <c r="E174">
        <v>3490</v>
      </c>
      <c r="F174" t="str">
        <f>IF(Table2_2[[#This Row],[Reviews]]&gt;$N$13,"Outlier"," Normal")</f>
        <v xml:space="preserve"> Normal</v>
      </c>
      <c r="G174">
        <v>15</v>
      </c>
      <c r="H174" t="str">
        <f>IF(Table2_2[[#This Row],[Price]]&gt;$N$20,"Outlier","Normal")</f>
        <v>Normal</v>
      </c>
      <c r="I174">
        <v>2013</v>
      </c>
      <c r="J174" t="str">
        <f>IF(Table2_2[[#This Row],[Year]]&gt;=2015,"Newer","Older")</f>
        <v>Older</v>
      </c>
      <c r="K174" s="1" t="s">
        <v>8</v>
      </c>
    </row>
    <row r="175" spans="1:11" x14ac:dyDescent="0.35">
      <c r="A175" s="1" t="s">
        <v>228</v>
      </c>
      <c r="B175" s="1" t="s">
        <v>229</v>
      </c>
      <c r="C175">
        <v>4.8</v>
      </c>
      <c r="D175" t="str">
        <f>IF(Table2_2[[#This Row],[User_Rating]]&lt;4.164816,"Outlier","Normal")</f>
        <v>Normal</v>
      </c>
      <c r="E175">
        <v>3490</v>
      </c>
      <c r="F175" t="str">
        <f>IF(Table2_2[[#This Row],[Reviews]]&gt;$N$13,"Outlier"," Normal")</f>
        <v xml:space="preserve"> Normal</v>
      </c>
      <c r="G175">
        <v>15</v>
      </c>
      <c r="H175" t="str">
        <f>IF(Table2_2[[#This Row],[Price]]&gt;$N$20,"Outlier","Normal")</f>
        <v>Normal</v>
      </c>
      <c r="I175">
        <v>2014</v>
      </c>
      <c r="J175" t="str">
        <f>IF(Table2_2[[#This Row],[Year]]&gt;=2015,"Newer","Older")</f>
        <v>Older</v>
      </c>
      <c r="K175" s="1" t="s">
        <v>8</v>
      </c>
    </row>
    <row r="176" spans="1:11" x14ac:dyDescent="0.35">
      <c r="A176" s="1" t="s">
        <v>230</v>
      </c>
      <c r="B176" s="1" t="s">
        <v>229</v>
      </c>
      <c r="C176">
        <v>4.9000000000000004</v>
      </c>
      <c r="D176" t="str">
        <f>IF(Table2_2[[#This Row],[User_Rating]]&lt;4.164816,"Outlier","Normal")</f>
        <v>Normal</v>
      </c>
      <c r="E176">
        <v>2812</v>
      </c>
      <c r="F176" t="str">
        <f>IF(Table2_2[[#This Row],[Reviews]]&gt;$N$13,"Outlier"," Normal")</f>
        <v xml:space="preserve"> Normal</v>
      </c>
      <c r="G176">
        <v>17</v>
      </c>
      <c r="H176" t="str">
        <f>IF(Table2_2[[#This Row],[Price]]&gt;$N$20,"Outlier","Normal")</f>
        <v>Normal</v>
      </c>
      <c r="I176">
        <v>2015</v>
      </c>
      <c r="J176" t="str">
        <f>IF(Table2_2[[#This Row],[Year]]&gt;=2015,"Newer","Older")</f>
        <v>Newer</v>
      </c>
      <c r="K176" s="1" t="s">
        <v>8</v>
      </c>
    </row>
    <row r="177" spans="1:11" x14ac:dyDescent="0.35">
      <c r="A177" s="1" t="s">
        <v>231</v>
      </c>
      <c r="B177" s="1" t="s">
        <v>232</v>
      </c>
      <c r="C177">
        <v>4.7</v>
      </c>
      <c r="D177" t="str">
        <f>IF(Table2_2[[#This Row],[User_Rating]]&lt;4.164816,"Outlier","Normal")</f>
        <v>Normal</v>
      </c>
      <c r="E177">
        <v>4896</v>
      </c>
      <c r="F177" t="str">
        <f>IF(Table2_2[[#This Row],[Reviews]]&gt;$N$13,"Outlier"," Normal")</f>
        <v xml:space="preserve"> Normal</v>
      </c>
      <c r="G177">
        <v>17</v>
      </c>
      <c r="H177" t="str">
        <f>IF(Table2_2[[#This Row],[Price]]&gt;$N$20,"Outlier","Normal")</f>
        <v>Normal</v>
      </c>
      <c r="I177">
        <v>2013</v>
      </c>
      <c r="J177" t="str">
        <f>IF(Table2_2[[#This Row],[Year]]&gt;=2015,"Newer","Older")</f>
        <v>Older</v>
      </c>
      <c r="K177" s="1" t="s">
        <v>8</v>
      </c>
    </row>
    <row r="178" spans="1:11" x14ac:dyDescent="0.35">
      <c r="A178" s="1" t="s">
        <v>233</v>
      </c>
      <c r="B178" s="1" t="s">
        <v>234</v>
      </c>
      <c r="C178">
        <v>4.8</v>
      </c>
      <c r="D178" t="str">
        <f>IF(Table2_2[[#This Row],[User_Rating]]&lt;4.164816,"Outlier","Normal")</f>
        <v>Normal</v>
      </c>
      <c r="E178">
        <v>9737</v>
      </c>
      <c r="F178" t="str">
        <f>IF(Table2_2[[#This Row],[Reviews]]&gt;$N$13,"Outlier"," Normal")</f>
        <v xml:space="preserve"> Normal</v>
      </c>
      <c r="G178">
        <v>7</v>
      </c>
      <c r="H178" t="str">
        <f>IF(Table2_2[[#This Row],[Price]]&gt;$N$20,"Outlier","Normal")</f>
        <v>Normal</v>
      </c>
      <c r="I178">
        <v>2019</v>
      </c>
      <c r="J178" t="str">
        <f>IF(Table2_2[[#This Row],[Year]]&gt;=2015,"Newer","Older")</f>
        <v>Newer</v>
      </c>
      <c r="K178" s="1" t="s">
        <v>8</v>
      </c>
    </row>
    <row r="179" spans="1:11" x14ac:dyDescent="0.35">
      <c r="A179" s="1" t="s">
        <v>235</v>
      </c>
      <c r="B179" s="1" t="s">
        <v>236</v>
      </c>
      <c r="C179">
        <v>4.5999999999999996</v>
      </c>
      <c r="D179" t="str">
        <f>IF(Table2_2[[#This Row],[User_Rating]]&lt;4.164816,"Outlier","Normal")</f>
        <v>Normal</v>
      </c>
      <c r="E179">
        <v>1320</v>
      </c>
      <c r="F179" t="str">
        <f>IF(Table2_2[[#This Row],[Reviews]]&gt;$N$13,"Outlier"," Normal")</f>
        <v xml:space="preserve"> Normal</v>
      </c>
      <c r="G179">
        <v>7</v>
      </c>
      <c r="H179" t="str">
        <f>IF(Table2_2[[#This Row],[Price]]&gt;$N$20,"Outlier","Normal")</f>
        <v>Normal</v>
      </c>
      <c r="I179">
        <v>2009</v>
      </c>
      <c r="J179" t="str">
        <f>IF(Table2_2[[#This Row],[Year]]&gt;=2015,"Newer","Older")</f>
        <v>Older</v>
      </c>
      <c r="K179" s="1" t="s">
        <v>11</v>
      </c>
    </row>
    <row r="180" spans="1:11" x14ac:dyDescent="0.35">
      <c r="A180" s="1" t="s">
        <v>237</v>
      </c>
      <c r="B180" s="1" t="s">
        <v>238</v>
      </c>
      <c r="C180">
        <v>4.8</v>
      </c>
      <c r="D180" t="str">
        <f>IF(Table2_2[[#This Row],[User_Rating]]&lt;4.164816,"Outlier","Normal")</f>
        <v>Normal</v>
      </c>
      <c r="E180">
        <v>16643</v>
      </c>
      <c r="F180" t="str">
        <f>IF(Table2_2[[#This Row],[Reviews]]&gt;$N$13,"Outlier"," Normal")</f>
        <v xml:space="preserve"> Normal</v>
      </c>
      <c r="G180">
        <v>4</v>
      </c>
      <c r="H180" t="str">
        <f>IF(Table2_2[[#This Row],[Price]]&gt;$N$20,"Outlier","Normal")</f>
        <v>Normal</v>
      </c>
      <c r="I180">
        <v>2017</v>
      </c>
      <c r="J180" t="str">
        <f>IF(Table2_2[[#This Row],[Year]]&gt;=2015,"Newer","Older")</f>
        <v>Newer</v>
      </c>
      <c r="K180" s="1" t="s">
        <v>11</v>
      </c>
    </row>
    <row r="181" spans="1:11" x14ac:dyDescent="0.35">
      <c r="A181" s="1" t="s">
        <v>237</v>
      </c>
      <c r="B181" s="1" t="s">
        <v>238</v>
      </c>
      <c r="C181">
        <v>4.8</v>
      </c>
      <c r="D181" t="str">
        <f>IF(Table2_2[[#This Row],[User_Rating]]&lt;4.164816,"Outlier","Normal")</f>
        <v>Normal</v>
      </c>
      <c r="E181">
        <v>16643</v>
      </c>
      <c r="F181" t="str">
        <f>IF(Table2_2[[#This Row],[Reviews]]&gt;$N$13,"Outlier"," Normal")</f>
        <v xml:space="preserve"> Normal</v>
      </c>
      <c r="G181">
        <v>4</v>
      </c>
      <c r="H181" t="str">
        <f>IF(Table2_2[[#This Row],[Price]]&gt;$N$20,"Outlier","Normal")</f>
        <v>Normal</v>
      </c>
      <c r="I181">
        <v>2019</v>
      </c>
      <c r="J181" t="str">
        <f>IF(Table2_2[[#This Row],[Year]]&gt;=2015,"Newer","Older")</f>
        <v>Newer</v>
      </c>
      <c r="K181" s="1" t="s">
        <v>11</v>
      </c>
    </row>
    <row r="182" spans="1:11" x14ac:dyDescent="0.35">
      <c r="A182" s="1" t="s">
        <v>239</v>
      </c>
      <c r="B182" s="1" t="s">
        <v>240</v>
      </c>
      <c r="C182">
        <v>4.3</v>
      </c>
      <c r="D182" t="str">
        <f>IF(Table2_2[[#This Row],[User_Rating]]&lt;4.164816,"Outlier","Normal")</f>
        <v>Normal</v>
      </c>
      <c r="E182">
        <v>7153</v>
      </c>
      <c r="F182" t="str">
        <f>IF(Table2_2[[#This Row],[Reviews]]&gt;$N$13,"Outlier"," Normal")</f>
        <v xml:space="preserve"> Normal</v>
      </c>
      <c r="G182">
        <v>9</v>
      </c>
      <c r="H182" t="str">
        <f>IF(Table2_2[[#This Row],[Price]]&gt;$N$20,"Outlier","Normal")</f>
        <v>Normal</v>
      </c>
      <c r="I182">
        <v>2014</v>
      </c>
      <c r="J182" t="str">
        <f>IF(Table2_2[[#This Row],[Year]]&gt;=2015,"Newer","Older")</f>
        <v>Older</v>
      </c>
      <c r="K182" s="1" t="s">
        <v>11</v>
      </c>
    </row>
    <row r="183" spans="1:11" x14ac:dyDescent="0.35">
      <c r="A183" s="1" t="s">
        <v>241</v>
      </c>
      <c r="B183" s="1" t="s">
        <v>242</v>
      </c>
      <c r="C183">
        <v>4.4000000000000004</v>
      </c>
      <c r="D183" t="str">
        <f>IF(Table2_2[[#This Row],[User_Rating]]&lt;4.164816,"Outlier","Normal")</f>
        <v>Normal</v>
      </c>
      <c r="E183">
        <v>4571</v>
      </c>
      <c r="F183" t="str">
        <f>IF(Table2_2[[#This Row],[Reviews]]&gt;$N$13,"Outlier"," Normal")</f>
        <v xml:space="preserve"> Normal</v>
      </c>
      <c r="G183">
        <v>21</v>
      </c>
      <c r="H183" t="str">
        <f>IF(Table2_2[[#This Row],[Price]]&gt;$N$20,"Outlier","Normal")</f>
        <v>Normal</v>
      </c>
      <c r="I183">
        <v>2011</v>
      </c>
      <c r="J183" t="str">
        <f>IF(Table2_2[[#This Row],[Year]]&gt;=2015,"Newer","Older")</f>
        <v>Older</v>
      </c>
      <c r="K183" s="1" t="s">
        <v>8</v>
      </c>
    </row>
    <row r="184" spans="1:11" x14ac:dyDescent="0.35">
      <c r="A184" s="1" t="s">
        <v>243</v>
      </c>
      <c r="B184" s="1" t="s">
        <v>244</v>
      </c>
      <c r="C184">
        <v>4.0999999999999996</v>
      </c>
      <c r="D184" t="str">
        <f>IF(Table2_2[[#This Row],[User_Rating]]&lt;4.164816,"Outlier","Normal")</f>
        <v>Outlier</v>
      </c>
      <c r="E184">
        <v>29651</v>
      </c>
      <c r="F184" t="str">
        <f>IF(Table2_2[[#This Row],[Reviews]]&gt;$N$13,"Outlier"," Normal")</f>
        <v xml:space="preserve"> Normal</v>
      </c>
      <c r="G184">
        <v>14</v>
      </c>
      <c r="H184" t="str">
        <f>IF(Table2_2[[#This Row],[Price]]&gt;$N$20,"Outlier","Normal")</f>
        <v>Normal</v>
      </c>
      <c r="I184">
        <v>2013</v>
      </c>
      <c r="J184" t="str">
        <f>IF(Table2_2[[#This Row],[Year]]&gt;=2015,"Newer","Older")</f>
        <v>Older</v>
      </c>
      <c r="K184" s="1" t="s">
        <v>11</v>
      </c>
    </row>
    <row r="185" spans="1:11" x14ac:dyDescent="0.35">
      <c r="A185" s="1" t="s">
        <v>245</v>
      </c>
      <c r="B185" s="1" t="s">
        <v>246</v>
      </c>
      <c r="C185">
        <v>4.5999999999999996</v>
      </c>
      <c r="D185" t="str">
        <f>IF(Table2_2[[#This Row],[User_Rating]]&lt;4.164816,"Outlier","Normal")</f>
        <v>Normal</v>
      </c>
      <c r="E185">
        <v>5299</v>
      </c>
      <c r="F185" t="str">
        <f>IF(Table2_2[[#This Row],[Reviews]]&gt;$N$13,"Outlier"," Normal")</f>
        <v xml:space="preserve"> Normal</v>
      </c>
      <c r="G185">
        <v>20</v>
      </c>
      <c r="H185" t="str">
        <f>IF(Table2_2[[#This Row],[Price]]&gt;$N$20,"Outlier","Normal")</f>
        <v>Normal</v>
      </c>
      <c r="I185">
        <v>2011</v>
      </c>
      <c r="J185" t="str">
        <f>IF(Table2_2[[#This Row],[Year]]&gt;=2015,"Newer","Older")</f>
        <v>Older</v>
      </c>
      <c r="K185" s="1" t="s">
        <v>11</v>
      </c>
    </row>
    <row r="186" spans="1:11" x14ac:dyDescent="0.35">
      <c r="A186" s="1" t="s">
        <v>247</v>
      </c>
      <c r="B186" s="1" t="s">
        <v>248</v>
      </c>
      <c r="C186">
        <v>4.4000000000000004</v>
      </c>
      <c r="D186" t="str">
        <f>IF(Table2_2[[#This Row],[User_Rating]]&lt;4.164816,"Outlier","Normal")</f>
        <v>Normal</v>
      </c>
      <c r="E186">
        <v>7396</v>
      </c>
      <c r="F186" t="str">
        <f>IF(Table2_2[[#This Row],[Reviews]]&gt;$N$13,"Outlier"," Normal")</f>
        <v xml:space="preserve"> Normal</v>
      </c>
      <c r="G186">
        <v>13</v>
      </c>
      <c r="H186" t="str">
        <f>IF(Table2_2[[#This Row],[Price]]&gt;$N$20,"Outlier","Normal")</f>
        <v>Normal</v>
      </c>
      <c r="I186">
        <v>2019</v>
      </c>
      <c r="J186" t="str">
        <f>IF(Table2_2[[#This Row],[Year]]&gt;=2015,"Newer","Older")</f>
        <v>Newer</v>
      </c>
      <c r="K186" s="1" t="s">
        <v>8</v>
      </c>
    </row>
    <row r="187" spans="1:11" x14ac:dyDescent="0.35">
      <c r="A187" s="1" t="s">
        <v>247</v>
      </c>
      <c r="B187" s="1" t="s">
        <v>248</v>
      </c>
      <c r="C187">
        <v>4.4000000000000004</v>
      </c>
      <c r="D187" t="str">
        <f>IF(Table2_2[[#This Row],[User_Rating]]&lt;4.164816,"Outlier","Normal")</f>
        <v>Normal</v>
      </c>
      <c r="E187">
        <v>7396</v>
      </c>
      <c r="F187" t="str">
        <f>IF(Table2_2[[#This Row],[Reviews]]&gt;$N$13,"Outlier"," Normal")</f>
        <v xml:space="preserve"> Normal</v>
      </c>
      <c r="G187">
        <v>13</v>
      </c>
      <c r="H187" t="str">
        <f>IF(Table2_2[[#This Row],[Price]]&gt;$N$20,"Outlier","Normal")</f>
        <v>Normal</v>
      </c>
      <c r="I187">
        <v>2018</v>
      </c>
      <c r="J187" t="str">
        <f>IF(Table2_2[[#This Row],[Year]]&gt;=2015,"Newer","Older")</f>
        <v>Newer</v>
      </c>
      <c r="K187" s="1" t="s">
        <v>8</v>
      </c>
    </row>
    <row r="188" spans="1:11" x14ac:dyDescent="0.35">
      <c r="A188" s="1" t="s">
        <v>249</v>
      </c>
      <c r="B188" s="1" t="s">
        <v>250</v>
      </c>
      <c r="C188">
        <v>4.8</v>
      </c>
      <c r="D188" t="str">
        <f>IF(Table2_2[[#This Row],[User_Rating]]&lt;4.164816,"Outlier","Normal")</f>
        <v>Normal</v>
      </c>
      <c r="E188">
        <v>7062</v>
      </c>
      <c r="F188" t="str">
        <f>IF(Table2_2[[#This Row],[Reviews]]&gt;$N$13,"Outlier"," Normal")</f>
        <v xml:space="preserve"> Normal</v>
      </c>
      <c r="G188">
        <v>12</v>
      </c>
      <c r="H188" t="str">
        <f>IF(Table2_2[[#This Row],[Price]]&gt;$N$20,"Outlier","Normal")</f>
        <v>Normal</v>
      </c>
      <c r="I188">
        <v>2019</v>
      </c>
      <c r="J188" t="str">
        <f>IF(Table2_2[[#This Row],[Year]]&gt;=2015,"Newer","Older")</f>
        <v>Newer</v>
      </c>
      <c r="K188" s="1" t="s">
        <v>8</v>
      </c>
    </row>
    <row r="189" spans="1:11" x14ac:dyDescent="0.35">
      <c r="A189" s="1" t="s">
        <v>251</v>
      </c>
      <c r="B189" s="1" t="s">
        <v>252</v>
      </c>
      <c r="C189">
        <v>4.9000000000000004</v>
      </c>
      <c r="D189" t="str">
        <f>IF(Table2_2[[#This Row],[User_Rating]]&lt;4.164816,"Outlier","Normal")</f>
        <v>Normal</v>
      </c>
      <c r="E189">
        <v>19576</v>
      </c>
      <c r="F189" t="str">
        <f>IF(Table2_2[[#This Row],[Reviews]]&gt;$N$13,"Outlier"," Normal")</f>
        <v xml:space="preserve"> Normal</v>
      </c>
      <c r="G189">
        <v>8</v>
      </c>
      <c r="H189" t="str">
        <f>IF(Table2_2[[#This Row],[Price]]&gt;$N$20,"Outlier","Normal")</f>
        <v>Normal</v>
      </c>
      <c r="I189">
        <v>2011</v>
      </c>
      <c r="J189" t="str">
        <f>IF(Table2_2[[#This Row],[Year]]&gt;=2015,"Newer","Older")</f>
        <v>Older</v>
      </c>
      <c r="K189" s="1" t="s">
        <v>8</v>
      </c>
    </row>
    <row r="190" spans="1:11" x14ac:dyDescent="0.35">
      <c r="A190" s="1" t="s">
        <v>251</v>
      </c>
      <c r="B190" s="1" t="s">
        <v>252</v>
      </c>
      <c r="C190">
        <v>4.9000000000000004</v>
      </c>
      <c r="D190" t="str">
        <f>IF(Table2_2[[#This Row],[User_Rating]]&lt;4.164816,"Outlier","Normal")</f>
        <v>Normal</v>
      </c>
      <c r="E190">
        <v>19576</v>
      </c>
      <c r="F190" t="str">
        <f>IF(Table2_2[[#This Row],[Reviews]]&gt;$N$13,"Outlier"," Normal")</f>
        <v xml:space="preserve"> Normal</v>
      </c>
      <c r="G190">
        <v>8</v>
      </c>
      <c r="H190" t="str">
        <f>IF(Table2_2[[#This Row],[Price]]&gt;$N$20,"Outlier","Normal")</f>
        <v>Normal</v>
      </c>
      <c r="I190">
        <v>2012</v>
      </c>
      <c r="J190" t="str">
        <f>IF(Table2_2[[#This Row],[Year]]&gt;=2015,"Newer","Older")</f>
        <v>Older</v>
      </c>
      <c r="K190" s="1" t="s">
        <v>8</v>
      </c>
    </row>
    <row r="191" spans="1:11" x14ac:dyDescent="0.35">
      <c r="A191" s="1" t="s">
        <v>251</v>
      </c>
      <c r="B191" s="1" t="s">
        <v>252</v>
      </c>
      <c r="C191">
        <v>4.9000000000000004</v>
      </c>
      <c r="D191" t="str">
        <f>IF(Table2_2[[#This Row],[User_Rating]]&lt;4.164816,"Outlier","Normal")</f>
        <v>Normal</v>
      </c>
      <c r="E191">
        <v>19576</v>
      </c>
      <c r="F191" t="str">
        <f>IF(Table2_2[[#This Row],[Reviews]]&gt;$N$13,"Outlier"," Normal")</f>
        <v xml:space="preserve"> Normal</v>
      </c>
      <c r="G191">
        <v>8</v>
      </c>
      <c r="H191" t="str">
        <f>IF(Table2_2[[#This Row],[Price]]&gt;$N$20,"Outlier","Normal")</f>
        <v>Normal</v>
      </c>
      <c r="I191">
        <v>2013</v>
      </c>
      <c r="J191" t="str">
        <f>IF(Table2_2[[#This Row],[Year]]&gt;=2015,"Newer","Older")</f>
        <v>Older</v>
      </c>
      <c r="K191" s="1" t="s">
        <v>8</v>
      </c>
    </row>
    <row r="192" spans="1:11" x14ac:dyDescent="0.35">
      <c r="A192" s="1" t="s">
        <v>251</v>
      </c>
      <c r="B192" s="1" t="s">
        <v>252</v>
      </c>
      <c r="C192">
        <v>4.9000000000000004</v>
      </c>
      <c r="D192" t="str">
        <f>IF(Table2_2[[#This Row],[User_Rating]]&lt;4.164816,"Outlier","Normal")</f>
        <v>Normal</v>
      </c>
      <c r="E192">
        <v>19576</v>
      </c>
      <c r="F192" t="str">
        <f>IF(Table2_2[[#This Row],[Reviews]]&gt;$N$13,"Outlier"," Normal")</f>
        <v xml:space="preserve"> Normal</v>
      </c>
      <c r="G192">
        <v>8</v>
      </c>
      <c r="H192" t="str">
        <f>IF(Table2_2[[#This Row],[Price]]&gt;$N$20,"Outlier","Normal")</f>
        <v>Normal</v>
      </c>
      <c r="I192">
        <v>2014</v>
      </c>
      <c r="J192" t="str">
        <f>IF(Table2_2[[#This Row],[Year]]&gt;=2015,"Newer","Older")</f>
        <v>Older</v>
      </c>
      <c r="K192" s="1" t="s">
        <v>8</v>
      </c>
    </row>
    <row r="193" spans="1:11" x14ac:dyDescent="0.35">
      <c r="A193" s="1" t="s">
        <v>251</v>
      </c>
      <c r="B193" s="1" t="s">
        <v>252</v>
      </c>
      <c r="C193">
        <v>4.9000000000000004</v>
      </c>
      <c r="D193" t="str">
        <f>IF(Table2_2[[#This Row],[User_Rating]]&lt;4.164816,"Outlier","Normal")</f>
        <v>Normal</v>
      </c>
      <c r="E193">
        <v>19576</v>
      </c>
      <c r="F193" t="str">
        <f>IF(Table2_2[[#This Row],[Reviews]]&gt;$N$13,"Outlier"," Normal")</f>
        <v xml:space="preserve"> Normal</v>
      </c>
      <c r="G193">
        <v>8</v>
      </c>
      <c r="H193" t="str">
        <f>IF(Table2_2[[#This Row],[Price]]&gt;$N$20,"Outlier","Normal")</f>
        <v>Normal</v>
      </c>
      <c r="I193">
        <v>2015</v>
      </c>
      <c r="J193" t="str">
        <f>IF(Table2_2[[#This Row],[Year]]&gt;=2015,"Newer","Older")</f>
        <v>Newer</v>
      </c>
      <c r="K193" s="1" t="s">
        <v>8</v>
      </c>
    </row>
    <row r="194" spans="1:11" x14ac:dyDescent="0.35">
      <c r="A194" s="1" t="s">
        <v>251</v>
      </c>
      <c r="B194" s="1" t="s">
        <v>252</v>
      </c>
      <c r="C194">
        <v>4.9000000000000004</v>
      </c>
      <c r="D194" t="str">
        <f>IF(Table2_2[[#This Row],[User_Rating]]&lt;4.164816,"Outlier","Normal")</f>
        <v>Normal</v>
      </c>
      <c r="E194">
        <v>19576</v>
      </c>
      <c r="F194" t="str">
        <f>IF(Table2_2[[#This Row],[Reviews]]&gt;$N$13,"Outlier"," Normal")</f>
        <v xml:space="preserve"> Normal</v>
      </c>
      <c r="G194">
        <v>8</v>
      </c>
      <c r="H194" t="str">
        <f>IF(Table2_2[[#This Row],[Price]]&gt;$N$20,"Outlier","Normal")</f>
        <v>Normal</v>
      </c>
      <c r="I194">
        <v>2016</v>
      </c>
      <c r="J194" t="str">
        <f>IF(Table2_2[[#This Row],[Year]]&gt;=2015,"Newer","Older")</f>
        <v>Newer</v>
      </c>
      <c r="K194" s="1" t="s">
        <v>8</v>
      </c>
    </row>
    <row r="195" spans="1:11" x14ac:dyDescent="0.35">
      <c r="A195" s="1" t="s">
        <v>253</v>
      </c>
      <c r="B195" s="1" t="s">
        <v>167</v>
      </c>
      <c r="C195">
        <v>4.5999999999999996</v>
      </c>
      <c r="D195" t="str">
        <f>IF(Table2_2[[#This Row],[User_Rating]]&lt;4.164816,"Outlier","Normal")</f>
        <v>Normal</v>
      </c>
      <c r="E195">
        <v>978</v>
      </c>
      <c r="F195" t="str">
        <f>IF(Table2_2[[#This Row],[Reviews]]&gt;$N$13,"Outlier"," Normal")</f>
        <v xml:space="preserve"> Normal</v>
      </c>
      <c r="G195">
        <v>0</v>
      </c>
      <c r="H195" t="str">
        <f>IF(Table2_2[[#This Row],[Price]]&gt;$N$20,"Outlier","Normal")</f>
        <v>Normal</v>
      </c>
      <c r="I195">
        <v>2014</v>
      </c>
      <c r="J195" t="str">
        <f>IF(Table2_2[[#This Row],[Year]]&gt;=2015,"Newer","Older")</f>
        <v>Older</v>
      </c>
      <c r="K195" s="1" t="s">
        <v>11</v>
      </c>
    </row>
    <row r="196" spans="1:11" x14ac:dyDescent="0.35">
      <c r="A196" s="1" t="s">
        <v>254</v>
      </c>
      <c r="B196" s="1" t="s">
        <v>10</v>
      </c>
      <c r="C196">
        <v>4.5</v>
      </c>
      <c r="D196" t="str">
        <f>IF(Table2_2[[#This Row],[User_Rating]]&lt;4.164816,"Outlier","Normal")</f>
        <v>Normal</v>
      </c>
      <c r="E196">
        <v>4748</v>
      </c>
      <c r="F196" t="str">
        <f>IF(Table2_2[[#This Row],[Reviews]]&gt;$N$13,"Outlier"," Normal")</f>
        <v xml:space="preserve"> Normal</v>
      </c>
      <c r="G196">
        <v>12</v>
      </c>
      <c r="H196" t="str">
        <f>IF(Table2_2[[#This Row],[Price]]&gt;$N$20,"Outlier","Normal")</f>
        <v>Normal</v>
      </c>
      <c r="I196">
        <v>2013</v>
      </c>
      <c r="J196" t="str">
        <f>IF(Table2_2[[#This Row],[Year]]&gt;=2015,"Newer","Older")</f>
        <v>Older</v>
      </c>
      <c r="K196" s="1" t="s">
        <v>11</v>
      </c>
    </row>
    <row r="197" spans="1:11" x14ac:dyDescent="0.35">
      <c r="A197" s="1" t="s">
        <v>255</v>
      </c>
      <c r="B197" s="1" t="s">
        <v>256</v>
      </c>
      <c r="C197">
        <v>4.5999999999999996</v>
      </c>
      <c r="D197" t="str">
        <f>IF(Table2_2[[#This Row],[User_Rating]]&lt;4.164816,"Outlier","Normal")</f>
        <v>Normal</v>
      </c>
      <c r="E197">
        <v>8393</v>
      </c>
      <c r="F197" t="str">
        <f>IF(Table2_2[[#This Row],[Reviews]]&gt;$N$13,"Outlier"," Normal")</f>
        <v xml:space="preserve"> Normal</v>
      </c>
      <c r="G197">
        <v>17</v>
      </c>
      <c r="H197" t="str">
        <f>IF(Table2_2[[#This Row],[Price]]&gt;$N$20,"Outlier","Normal")</f>
        <v>Normal</v>
      </c>
      <c r="I197">
        <v>2017</v>
      </c>
      <c r="J197" t="str">
        <f>IF(Table2_2[[#This Row],[Year]]&gt;=2015,"Newer","Older")</f>
        <v>Newer</v>
      </c>
      <c r="K197" s="1" t="s">
        <v>8</v>
      </c>
    </row>
    <row r="198" spans="1:11" x14ac:dyDescent="0.35">
      <c r="A198" s="1" t="s">
        <v>257</v>
      </c>
      <c r="B198" s="1" t="s">
        <v>258</v>
      </c>
      <c r="C198">
        <v>4.5</v>
      </c>
      <c r="D198" t="str">
        <f>IF(Table2_2[[#This Row],[User_Rating]]&lt;4.164816,"Outlier","Normal")</f>
        <v>Normal</v>
      </c>
      <c r="E198">
        <v>11391</v>
      </c>
      <c r="F198" t="str">
        <f>IF(Table2_2[[#This Row],[Reviews]]&gt;$N$13,"Outlier"," Normal")</f>
        <v xml:space="preserve"> Normal</v>
      </c>
      <c r="G198">
        <v>12</v>
      </c>
      <c r="H198" t="str">
        <f>IF(Table2_2[[#This Row],[Price]]&gt;$N$20,"Outlier","Normal")</f>
        <v>Normal</v>
      </c>
      <c r="I198">
        <v>2013</v>
      </c>
      <c r="J198" t="str">
        <f>IF(Table2_2[[#This Row],[Year]]&gt;=2015,"Newer","Older")</f>
        <v>Older</v>
      </c>
      <c r="K198" s="1" t="s">
        <v>8</v>
      </c>
    </row>
    <row r="199" spans="1:11" x14ac:dyDescent="0.35">
      <c r="A199" s="1" t="s">
        <v>259</v>
      </c>
      <c r="B199" s="1" t="s">
        <v>258</v>
      </c>
      <c r="C199">
        <v>4.5999999999999996</v>
      </c>
      <c r="D199" t="str">
        <f>IF(Table2_2[[#This Row],[User_Rating]]&lt;4.164816,"Outlier","Normal")</f>
        <v>Normal</v>
      </c>
      <c r="E199">
        <v>8634</v>
      </c>
      <c r="F199" t="str">
        <f>IF(Table2_2[[#This Row],[Reviews]]&gt;$N$13,"Outlier"," Normal")</f>
        <v xml:space="preserve"> Normal</v>
      </c>
      <c r="G199">
        <v>25</v>
      </c>
      <c r="H199" t="str">
        <f>IF(Table2_2[[#This Row],[Price]]&gt;$N$20,"Outlier","Normal")</f>
        <v>Normal</v>
      </c>
      <c r="I199">
        <v>2012</v>
      </c>
      <c r="J199" t="str">
        <f>IF(Table2_2[[#This Row],[Year]]&gt;=2015,"Newer","Older")</f>
        <v>Older</v>
      </c>
      <c r="K199" s="1" t="s">
        <v>8</v>
      </c>
    </row>
    <row r="200" spans="1:11" x14ac:dyDescent="0.35">
      <c r="A200" s="1" t="s">
        <v>260</v>
      </c>
      <c r="B200" s="1" t="s">
        <v>258</v>
      </c>
      <c r="C200">
        <v>4.7</v>
      </c>
      <c r="D200" t="str">
        <f>IF(Table2_2[[#This Row],[User_Rating]]&lt;4.164816,"Outlier","Normal")</f>
        <v>Normal</v>
      </c>
      <c r="E200">
        <v>9342</v>
      </c>
      <c r="F200" t="str">
        <f>IF(Table2_2[[#This Row],[Reviews]]&gt;$N$13,"Outlier"," Normal")</f>
        <v xml:space="preserve"> Normal</v>
      </c>
      <c r="G200">
        <v>10</v>
      </c>
      <c r="H200" t="str">
        <f>IF(Table2_2[[#This Row],[Price]]&gt;$N$20,"Outlier","Normal")</f>
        <v>Normal</v>
      </c>
      <c r="I200">
        <v>2011</v>
      </c>
      <c r="J200" t="str">
        <f>IF(Table2_2[[#This Row],[Year]]&gt;=2015,"Newer","Older")</f>
        <v>Older</v>
      </c>
      <c r="K200" s="1" t="s">
        <v>8</v>
      </c>
    </row>
    <row r="201" spans="1:11" x14ac:dyDescent="0.35">
      <c r="A201" s="1" t="s">
        <v>260</v>
      </c>
      <c r="B201" s="1" t="s">
        <v>258</v>
      </c>
      <c r="C201">
        <v>4.7</v>
      </c>
      <c r="D201" t="str">
        <f>IF(Table2_2[[#This Row],[User_Rating]]&lt;4.164816,"Outlier","Normal")</f>
        <v>Normal</v>
      </c>
      <c r="E201">
        <v>9342</v>
      </c>
      <c r="F201" t="str">
        <f>IF(Table2_2[[#This Row],[Reviews]]&gt;$N$13,"Outlier"," Normal")</f>
        <v xml:space="preserve"> Normal</v>
      </c>
      <c r="G201">
        <v>10</v>
      </c>
      <c r="H201" t="str">
        <f>IF(Table2_2[[#This Row],[Price]]&gt;$N$20,"Outlier","Normal")</f>
        <v>Normal</v>
      </c>
      <c r="I201">
        <v>2012</v>
      </c>
      <c r="J201" t="str">
        <f>IF(Table2_2[[#This Row],[Year]]&gt;=2015,"Newer","Older")</f>
        <v>Older</v>
      </c>
      <c r="K201" s="1" t="s">
        <v>8</v>
      </c>
    </row>
    <row r="202" spans="1:11" x14ac:dyDescent="0.35">
      <c r="A202" s="1" t="s">
        <v>261</v>
      </c>
      <c r="B202" s="1" t="s">
        <v>258</v>
      </c>
      <c r="C202">
        <v>4.5999999999999996</v>
      </c>
      <c r="D202" t="str">
        <f>IF(Table2_2[[#This Row],[User_Rating]]&lt;4.164816,"Outlier","Normal")</f>
        <v>Normal</v>
      </c>
      <c r="E202">
        <v>10927</v>
      </c>
      <c r="F202" t="str">
        <f>IF(Table2_2[[#This Row],[Reviews]]&gt;$N$13,"Outlier"," Normal")</f>
        <v xml:space="preserve"> Normal</v>
      </c>
      <c r="G202">
        <v>6</v>
      </c>
      <c r="H202" t="str">
        <f>IF(Table2_2[[#This Row],[Price]]&gt;$N$20,"Outlier","Normal")</f>
        <v>Normal</v>
      </c>
      <c r="I202">
        <v>2014</v>
      </c>
      <c r="J202" t="str">
        <f>IF(Table2_2[[#This Row],[Year]]&gt;=2015,"Newer","Older")</f>
        <v>Older</v>
      </c>
      <c r="K202" s="1" t="s">
        <v>8</v>
      </c>
    </row>
    <row r="203" spans="1:11" x14ac:dyDescent="0.35">
      <c r="A203" s="1" t="s">
        <v>262</v>
      </c>
      <c r="B203" s="1" t="s">
        <v>258</v>
      </c>
      <c r="C203">
        <v>4.5999999999999996</v>
      </c>
      <c r="D203" t="str">
        <f>IF(Table2_2[[#This Row],[User_Rating]]&lt;4.164816,"Outlier","Normal")</f>
        <v>Normal</v>
      </c>
      <c r="E203">
        <v>5235</v>
      </c>
      <c r="F203" t="str">
        <f>IF(Table2_2[[#This Row],[Reviews]]&gt;$N$13,"Outlier"," Normal")</f>
        <v xml:space="preserve"> Normal</v>
      </c>
      <c r="G203">
        <v>5</v>
      </c>
      <c r="H203" t="str">
        <f>IF(Table2_2[[#This Row],[Price]]&gt;$N$20,"Outlier","Normal")</f>
        <v>Normal</v>
      </c>
      <c r="I203">
        <v>2015</v>
      </c>
      <c r="J203" t="str">
        <f>IF(Table2_2[[#This Row],[Year]]&gt;=2015,"Newer","Older")</f>
        <v>Newer</v>
      </c>
      <c r="K203" s="1" t="s">
        <v>8</v>
      </c>
    </row>
    <row r="204" spans="1:11" x14ac:dyDescent="0.35">
      <c r="A204" s="1" t="s">
        <v>263</v>
      </c>
      <c r="B204" s="1" t="s">
        <v>258</v>
      </c>
      <c r="C204">
        <v>4.8</v>
      </c>
      <c r="D204" t="str">
        <f>IF(Table2_2[[#This Row],[User_Rating]]&lt;4.164816,"Outlier","Normal")</f>
        <v>Normal</v>
      </c>
      <c r="E204">
        <v>8916</v>
      </c>
      <c r="F204" t="str">
        <f>IF(Table2_2[[#This Row],[Reviews]]&gt;$N$13,"Outlier"," Normal")</f>
        <v xml:space="preserve"> Normal</v>
      </c>
      <c r="G204">
        <v>6</v>
      </c>
      <c r="H204" t="str">
        <f>IF(Table2_2[[#This Row],[Price]]&gt;$N$20,"Outlier","Normal")</f>
        <v>Normal</v>
      </c>
      <c r="I204">
        <v>2016</v>
      </c>
      <c r="J204" t="str">
        <f>IF(Table2_2[[#This Row],[Year]]&gt;=2015,"Newer","Older")</f>
        <v>Newer</v>
      </c>
      <c r="K204" s="1" t="s">
        <v>8</v>
      </c>
    </row>
    <row r="205" spans="1:11" x14ac:dyDescent="0.35">
      <c r="A205" s="1" t="s">
        <v>264</v>
      </c>
      <c r="B205" s="1" t="s">
        <v>265</v>
      </c>
      <c r="C205">
        <v>4.8</v>
      </c>
      <c r="D205" t="str">
        <f>IF(Table2_2[[#This Row],[User_Rating]]&lt;4.164816,"Outlier","Normal")</f>
        <v>Normal</v>
      </c>
      <c r="E205">
        <v>2507</v>
      </c>
      <c r="F205" t="str">
        <f>IF(Table2_2[[#This Row],[Reviews]]&gt;$N$13,"Outlier"," Normal")</f>
        <v xml:space="preserve"> Normal</v>
      </c>
      <c r="G205">
        <v>8</v>
      </c>
      <c r="H205" t="str">
        <f>IF(Table2_2[[#This Row],[Price]]&gt;$N$20,"Outlier","Normal")</f>
        <v>Normal</v>
      </c>
      <c r="I205">
        <v>2018</v>
      </c>
      <c r="J205" t="str">
        <f>IF(Table2_2[[#This Row],[Year]]&gt;=2015,"Newer","Older")</f>
        <v>Newer</v>
      </c>
      <c r="K205" s="1" t="s">
        <v>8</v>
      </c>
    </row>
    <row r="206" spans="1:11" x14ac:dyDescent="0.35">
      <c r="A206" s="1" t="s">
        <v>266</v>
      </c>
      <c r="B206" s="1" t="s">
        <v>267</v>
      </c>
      <c r="C206">
        <v>4.5</v>
      </c>
      <c r="D206" t="str">
        <f>IF(Table2_2[[#This Row],[User_Rating]]&lt;4.164816,"Outlier","Normal")</f>
        <v>Normal</v>
      </c>
      <c r="E206">
        <v>3673</v>
      </c>
      <c r="F206" t="str">
        <f>IF(Table2_2[[#This Row],[Reviews]]&gt;$N$13,"Outlier"," Normal")</f>
        <v xml:space="preserve"> Normal</v>
      </c>
      <c r="G206">
        <v>4</v>
      </c>
      <c r="H206" t="str">
        <f>IF(Table2_2[[#This Row],[Price]]&gt;$N$20,"Outlier","Normal")</f>
        <v>Normal</v>
      </c>
      <c r="I206">
        <v>2013</v>
      </c>
      <c r="J206" t="str">
        <f>IF(Table2_2[[#This Row],[Year]]&gt;=2015,"Newer","Older")</f>
        <v>Older</v>
      </c>
      <c r="K206" s="1" t="s">
        <v>8</v>
      </c>
    </row>
    <row r="207" spans="1:11" x14ac:dyDescent="0.35">
      <c r="A207" s="1" t="s">
        <v>266</v>
      </c>
      <c r="B207" s="1" t="s">
        <v>267</v>
      </c>
      <c r="C207">
        <v>4.5</v>
      </c>
      <c r="D207" t="str">
        <f>IF(Table2_2[[#This Row],[User_Rating]]&lt;4.164816,"Outlier","Normal")</f>
        <v>Normal</v>
      </c>
      <c r="E207">
        <v>3673</v>
      </c>
      <c r="F207" t="str">
        <f>IF(Table2_2[[#This Row],[Reviews]]&gt;$N$13,"Outlier"," Normal")</f>
        <v xml:space="preserve"> Normal</v>
      </c>
      <c r="G207">
        <v>4</v>
      </c>
      <c r="H207" t="str">
        <f>IF(Table2_2[[#This Row],[Price]]&gt;$N$20,"Outlier","Normal")</f>
        <v>Normal</v>
      </c>
      <c r="I207">
        <v>2014</v>
      </c>
      <c r="J207" t="str">
        <f>IF(Table2_2[[#This Row],[Year]]&gt;=2015,"Newer","Older")</f>
        <v>Older</v>
      </c>
      <c r="K207" s="1" t="s">
        <v>8</v>
      </c>
    </row>
    <row r="208" spans="1:11" x14ac:dyDescent="0.35">
      <c r="A208" s="1" t="s">
        <v>266</v>
      </c>
      <c r="B208" s="1" t="s">
        <v>267</v>
      </c>
      <c r="C208">
        <v>4.5</v>
      </c>
      <c r="D208" t="str">
        <f>IF(Table2_2[[#This Row],[User_Rating]]&lt;4.164816,"Outlier","Normal")</f>
        <v>Normal</v>
      </c>
      <c r="E208">
        <v>3673</v>
      </c>
      <c r="F208" t="str">
        <f>IF(Table2_2[[#This Row],[Reviews]]&gt;$N$13,"Outlier"," Normal")</f>
        <v xml:space="preserve"> Normal</v>
      </c>
      <c r="G208">
        <v>4</v>
      </c>
      <c r="H208" t="str">
        <f>IF(Table2_2[[#This Row],[Price]]&gt;$N$20,"Outlier","Normal")</f>
        <v>Normal</v>
      </c>
      <c r="I208">
        <v>2015</v>
      </c>
      <c r="J208" t="str">
        <f>IF(Table2_2[[#This Row],[Year]]&gt;=2015,"Newer","Older")</f>
        <v>Newer</v>
      </c>
      <c r="K208" s="1" t="s">
        <v>8</v>
      </c>
    </row>
    <row r="209" spans="1:11" x14ac:dyDescent="0.35">
      <c r="A209" s="1" t="s">
        <v>268</v>
      </c>
      <c r="B209" s="1" t="s">
        <v>269</v>
      </c>
      <c r="C209">
        <v>4.9000000000000004</v>
      </c>
      <c r="D209" t="str">
        <f>IF(Table2_2[[#This Row],[User_Rating]]&lt;4.164816,"Outlier","Normal")</f>
        <v>Normal</v>
      </c>
      <c r="E209">
        <v>11881</v>
      </c>
      <c r="F209" t="str">
        <f>IF(Table2_2[[#This Row],[Reviews]]&gt;$N$13,"Outlier"," Normal")</f>
        <v xml:space="preserve"> Normal</v>
      </c>
      <c r="G209">
        <v>13</v>
      </c>
      <c r="H209" t="str">
        <f>IF(Table2_2[[#This Row],[Price]]&gt;$N$20,"Outlier","Normal")</f>
        <v>Normal</v>
      </c>
      <c r="I209">
        <v>2018</v>
      </c>
      <c r="J209" t="str">
        <f>IF(Table2_2[[#This Row],[Year]]&gt;=2015,"Newer","Older")</f>
        <v>Newer</v>
      </c>
      <c r="K209" s="1" t="s">
        <v>11</v>
      </c>
    </row>
    <row r="210" spans="1:11" x14ac:dyDescent="0.35">
      <c r="A210" s="1" t="s">
        <v>270</v>
      </c>
      <c r="B210" s="1" t="s">
        <v>267</v>
      </c>
      <c r="C210">
        <v>4.5999999999999996</v>
      </c>
      <c r="D210" t="str">
        <f>IF(Table2_2[[#This Row],[User_Rating]]&lt;4.164816,"Outlier","Normal")</f>
        <v>Normal</v>
      </c>
      <c r="E210">
        <v>6990</v>
      </c>
      <c r="F210" t="str">
        <f>IF(Table2_2[[#This Row],[Reviews]]&gt;$N$13,"Outlier"," Normal")</f>
        <v xml:space="preserve"> Normal</v>
      </c>
      <c r="G210">
        <v>4</v>
      </c>
      <c r="H210" t="str">
        <f>IF(Table2_2[[#This Row],[Price]]&gt;$N$20,"Outlier","Normal")</f>
        <v>Normal</v>
      </c>
      <c r="I210">
        <v>2013</v>
      </c>
      <c r="J210" t="str">
        <f>IF(Table2_2[[#This Row],[Year]]&gt;=2015,"Newer","Older")</f>
        <v>Older</v>
      </c>
      <c r="K210" s="1" t="s">
        <v>8</v>
      </c>
    </row>
    <row r="211" spans="1:11" x14ac:dyDescent="0.35">
      <c r="A211" s="1" t="s">
        <v>270</v>
      </c>
      <c r="B211" s="1" t="s">
        <v>267</v>
      </c>
      <c r="C211">
        <v>4.5999999999999996</v>
      </c>
      <c r="D211" t="str">
        <f>IF(Table2_2[[#This Row],[User_Rating]]&lt;4.164816,"Outlier","Normal")</f>
        <v>Normal</v>
      </c>
      <c r="E211">
        <v>6990</v>
      </c>
      <c r="F211" t="str">
        <f>IF(Table2_2[[#This Row],[Reviews]]&gt;$N$13,"Outlier"," Normal")</f>
        <v xml:space="preserve"> Normal</v>
      </c>
      <c r="G211">
        <v>4</v>
      </c>
      <c r="H211" t="str">
        <f>IF(Table2_2[[#This Row],[Price]]&gt;$N$20,"Outlier","Normal")</f>
        <v>Normal</v>
      </c>
      <c r="I211">
        <v>2014</v>
      </c>
      <c r="J211" t="str">
        <f>IF(Table2_2[[#This Row],[Year]]&gt;=2015,"Newer","Older")</f>
        <v>Older</v>
      </c>
      <c r="K211" s="1" t="s">
        <v>8</v>
      </c>
    </row>
    <row r="212" spans="1:11" x14ac:dyDescent="0.35">
      <c r="A212" s="1" t="s">
        <v>270</v>
      </c>
      <c r="B212" s="1" t="s">
        <v>267</v>
      </c>
      <c r="C212">
        <v>4.5999999999999996</v>
      </c>
      <c r="D212" t="str">
        <f>IF(Table2_2[[#This Row],[User_Rating]]&lt;4.164816,"Outlier","Normal")</f>
        <v>Normal</v>
      </c>
      <c r="E212">
        <v>6990</v>
      </c>
      <c r="F212" t="str">
        <f>IF(Table2_2[[#This Row],[Reviews]]&gt;$N$13,"Outlier"," Normal")</f>
        <v xml:space="preserve"> Normal</v>
      </c>
      <c r="G212">
        <v>4</v>
      </c>
      <c r="H212" t="str">
        <f>IF(Table2_2[[#This Row],[Price]]&gt;$N$20,"Outlier","Normal")</f>
        <v>Normal</v>
      </c>
      <c r="I212">
        <v>2015</v>
      </c>
      <c r="J212" t="str">
        <f>IF(Table2_2[[#This Row],[Year]]&gt;=2015,"Newer","Older")</f>
        <v>Newer</v>
      </c>
      <c r="K212" s="1" t="s">
        <v>8</v>
      </c>
    </row>
    <row r="213" spans="1:11" x14ac:dyDescent="0.35">
      <c r="A213" s="1" t="s">
        <v>270</v>
      </c>
      <c r="B213" s="1" t="s">
        <v>267</v>
      </c>
      <c r="C213">
        <v>4.5999999999999996</v>
      </c>
      <c r="D213" t="str">
        <f>IF(Table2_2[[#This Row],[User_Rating]]&lt;4.164816,"Outlier","Normal")</f>
        <v>Normal</v>
      </c>
      <c r="E213">
        <v>6990</v>
      </c>
      <c r="F213" t="str">
        <f>IF(Table2_2[[#This Row],[Reviews]]&gt;$N$13,"Outlier"," Normal")</f>
        <v xml:space="preserve"> Normal</v>
      </c>
      <c r="G213">
        <v>4</v>
      </c>
      <c r="H213" t="str">
        <f>IF(Table2_2[[#This Row],[Price]]&gt;$N$20,"Outlier","Normal")</f>
        <v>Normal</v>
      </c>
      <c r="I213">
        <v>2016</v>
      </c>
      <c r="J213" t="str">
        <f>IF(Table2_2[[#This Row],[Year]]&gt;=2015,"Newer","Older")</f>
        <v>Newer</v>
      </c>
      <c r="K213" s="1" t="s">
        <v>8</v>
      </c>
    </row>
    <row r="214" spans="1:11" x14ac:dyDescent="0.35">
      <c r="A214" s="1" t="s">
        <v>270</v>
      </c>
      <c r="B214" s="1" t="s">
        <v>267</v>
      </c>
      <c r="C214">
        <v>4.5999999999999996</v>
      </c>
      <c r="D214" t="str">
        <f>IF(Table2_2[[#This Row],[User_Rating]]&lt;4.164816,"Outlier","Normal")</f>
        <v>Normal</v>
      </c>
      <c r="E214">
        <v>6990</v>
      </c>
      <c r="F214" t="str">
        <f>IF(Table2_2[[#This Row],[Reviews]]&gt;$N$13,"Outlier"," Normal")</f>
        <v xml:space="preserve"> Normal</v>
      </c>
      <c r="G214">
        <v>4</v>
      </c>
      <c r="H214" t="str">
        <f>IF(Table2_2[[#This Row],[Price]]&gt;$N$20,"Outlier","Normal")</f>
        <v>Normal</v>
      </c>
      <c r="I214">
        <v>2017</v>
      </c>
      <c r="J214" t="str">
        <f>IF(Table2_2[[#This Row],[Year]]&gt;=2015,"Newer","Older")</f>
        <v>Newer</v>
      </c>
      <c r="K214" s="1" t="s">
        <v>8</v>
      </c>
    </row>
    <row r="215" spans="1:11" x14ac:dyDescent="0.35">
      <c r="A215" s="1" t="s">
        <v>271</v>
      </c>
      <c r="B215" s="1" t="s">
        <v>272</v>
      </c>
      <c r="C215">
        <v>4.5</v>
      </c>
      <c r="D215" t="str">
        <f>IF(Table2_2[[#This Row],[User_Rating]]&lt;4.164816,"Outlier","Normal")</f>
        <v>Normal</v>
      </c>
      <c r="E215">
        <v>6132</v>
      </c>
      <c r="F215" t="str">
        <f>IF(Table2_2[[#This Row],[Reviews]]&gt;$N$13,"Outlier"," Normal")</f>
        <v xml:space="preserve"> Normal</v>
      </c>
      <c r="G215">
        <v>13</v>
      </c>
      <c r="H215" t="str">
        <f>IF(Table2_2[[#This Row],[Price]]&gt;$N$20,"Outlier","Normal")</f>
        <v>Normal</v>
      </c>
      <c r="I215">
        <v>2013</v>
      </c>
      <c r="J215" t="str">
        <f>IF(Table2_2[[#This Row],[Year]]&gt;=2015,"Newer","Older")</f>
        <v>Older</v>
      </c>
      <c r="K215" s="1" t="s">
        <v>8</v>
      </c>
    </row>
    <row r="216" spans="1:11" x14ac:dyDescent="0.35">
      <c r="A216" s="1" t="s">
        <v>273</v>
      </c>
      <c r="B216" s="1" t="s">
        <v>274</v>
      </c>
      <c r="C216">
        <v>4.5</v>
      </c>
      <c r="D216" t="str">
        <f>IF(Table2_2[[#This Row],[User_Rating]]&lt;4.164816,"Outlier","Normal")</f>
        <v>Normal</v>
      </c>
      <c r="E216">
        <v>3014</v>
      </c>
      <c r="F216" t="str">
        <f>IF(Table2_2[[#This Row],[Reviews]]&gt;$N$13,"Outlier"," Normal")</f>
        <v xml:space="preserve"> Normal</v>
      </c>
      <c r="G216">
        <v>21</v>
      </c>
      <c r="H216" t="str">
        <f>IF(Table2_2[[#This Row],[Price]]&gt;$N$20,"Outlier","Normal")</f>
        <v>Normal</v>
      </c>
      <c r="I216">
        <v>2017</v>
      </c>
      <c r="J216" t="str">
        <f>IF(Table2_2[[#This Row],[Year]]&gt;=2015,"Newer","Older")</f>
        <v>Newer</v>
      </c>
      <c r="K216" s="1" t="s">
        <v>8</v>
      </c>
    </row>
    <row r="217" spans="1:11" x14ac:dyDescent="0.35">
      <c r="A217" s="1" t="s">
        <v>275</v>
      </c>
      <c r="B217" s="1" t="s">
        <v>276</v>
      </c>
      <c r="C217">
        <v>4.4000000000000004</v>
      </c>
      <c r="D217" t="str">
        <f>IF(Table2_2[[#This Row],[User_Rating]]&lt;4.164816,"Outlier","Normal")</f>
        <v>Normal</v>
      </c>
      <c r="E217">
        <v>7550</v>
      </c>
      <c r="F217" t="str">
        <f>IF(Table2_2[[#This Row],[Reviews]]&gt;$N$13,"Outlier"," Normal")</f>
        <v xml:space="preserve"> Normal</v>
      </c>
      <c r="G217">
        <v>6</v>
      </c>
      <c r="H217" t="str">
        <f>IF(Table2_2[[#This Row],[Price]]&gt;$N$20,"Outlier","Normal")</f>
        <v>Normal</v>
      </c>
      <c r="I217">
        <v>2018</v>
      </c>
      <c r="J217" t="str">
        <f>IF(Table2_2[[#This Row],[Year]]&gt;=2015,"Newer","Older")</f>
        <v>Newer</v>
      </c>
      <c r="K217" s="1" t="s">
        <v>8</v>
      </c>
    </row>
    <row r="218" spans="1:11" x14ac:dyDescent="0.35">
      <c r="A218" s="1" t="s">
        <v>277</v>
      </c>
      <c r="B218" s="1" t="s">
        <v>278</v>
      </c>
      <c r="C218">
        <v>4.8</v>
      </c>
      <c r="D218" t="str">
        <f>IF(Table2_2[[#This Row],[User_Rating]]&lt;4.164816,"Outlier","Normal")</f>
        <v>Normal</v>
      </c>
      <c r="E218">
        <v>3828</v>
      </c>
      <c r="F218" t="str">
        <f>IF(Table2_2[[#This Row],[Reviews]]&gt;$N$13,"Outlier"," Normal")</f>
        <v xml:space="preserve"> Normal</v>
      </c>
      <c r="G218">
        <v>15</v>
      </c>
      <c r="H218" t="str">
        <f>IF(Table2_2[[#This Row],[Price]]&gt;$N$20,"Outlier","Normal")</f>
        <v>Normal</v>
      </c>
      <c r="I218">
        <v>2009</v>
      </c>
      <c r="J218" t="str">
        <f>IF(Table2_2[[#This Row],[Year]]&gt;=2015,"Newer","Older")</f>
        <v>Older</v>
      </c>
      <c r="K218" s="1" t="s">
        <v>8</v>
      </c>
    </row>
    <row r="219" spans="1:11" x14ac:dyDescent="0.35">
      <c r="A219" s="1" t="s">
        <v>279</v>
      </c>
      <c r="B219" s="1" t="s">
        <v>280</v>
      </c>
      <c r="C219">
        <v>4.5</v>
      </c>
      <c r="D219" t="str">
        <f>IF(Table2_2[[#This Row],[User_Rating]]&lt;4.164816,"Outlier","Normal")</f>
        <v>Normal</v>
      </c>
      <c r="E219">
        <v>2752</v>
      </c>
      <c r="F219" t="str">
        <f>IF(Table2_2[[#This Row],[Reviews]]&gt;$N$13,"Outlier"," Normal")</f>
        <v xml:space="preserve"> Normal</v>
      </c>
      <c r="G219">
        <v>18</v>
      </c>
      <c r="H219" t="str">
        <f>IF(Table2_2[[#This Row],[Price]]&gt;$N$20,"Outlier","Normal")</f>
        <v>Normal</v>
      </c>
      <c r="I219">
        <v>2010</v>
      </c>
      <c r="J219" t="str">
        <f>IF(Table2_2[[#This Row],[Year]]&gt;=2015,"Newer","Older")</f>
        <v>Older</v>
      </c>
      <c r="K219" s="1" t="s">
        <v>8</v>
      </c>
    </row>
    <row r="220" spans="1:11" x14ac:dyDescent="0.35">
      <c r="A220" s="1" t="s">
        <v>281</v>
      </c>
      <c r="B220" s="1" t="s">
        <v>282</v>
      </c>
      <c r="C220">
        <v>4.0999999999999996</v>
      </c>
      <c r="D220" t="str">
        <f>IF(Table2_2[[#This Row],[User_Rating]]&lt;4.164816,"Outlier","Normal")</f>
        <v>Outlier</v>
      </c>
      <c r="E220">
        <v>1467</v>
      </c>
      <c r="F220" t="str">
        <f>IF(Table2_2[[#This Row],[Reviews]]&gt;$N$13,"Outlier"," Normal")</f>
        <v xml:space="preserve"> Normal</v>
      </c>
      <c r="G220">
        <v>10</v>
      </c>
      <c r="H220" t="str">
        <f>IF(Table2_2[[#This Row],[Price]]&gt;$N$20,"Outlier","Normal")</f>
        <v>Normal</v>
      </c>
      <c r="I220">
        <v>2010</v>
      </c>
      <c r="J220" t="str">
        <f>IF(Table2_2[[#This Row],[Year]]&gt;=2015,"Newer","Older")</f>
        <v>Older</v>
      </c>
      <c r="K220" s="1" t="s">
        <v>11</v>
      </c>
    </row>
    <row r="221" spans="1:11" x14ac:dyDescent="0.35">
      <c r="A221" s="1" t="s">
        <v>283</v>
      </c>
      <c r="B221" s="1" t="s">
        <v>284</v>
      </c>
      <c r="C221">
        <v>4.9000000000000004</v>
      </c>
      <c r="D221" t="str">
        <f>IF(Table2_2[[#This Row],[User_Rating]]&lt;4.164816,"Outlier","Normal")</f>
        <v>Normal</v>
      </c>
      <c r="E221">
        <v>1884</v>
      </c>
      <c r="F221" t="str">
        <f>IF(Table2_2[[#This Row],[Reviews]]&gt;$N$13,"Outlier"," Normal")</f>
        <v xml:space="preserve"> Normal</v>
      </c>
      <c r="G221">
        <v>0</v>
      </c>
      <c r="H221" t="str">
        <f>IF(Table2_2[[#This Row],[Price]]&gt;$N$20,"Outlier","Normal")</f>
        <v>Normal</v>
      </c>
      <c r="I221">
        <v>2014</v>
      </c>
      <c r="J221" t="str">
        <f>IF(Table2_2[[#This Row],[Year]]&gt;=2015,"Newer","Older")</f>
        <v>Older</v>
      </c>
      <c r="K221" s="1" t="s">
        <v>11</v>
      </c>
    </row>
    <row r="222" spans="1:11" x14ac:dyDescent="0.35">
      <c r="A222" s="1" t="s">
        <v>285</v>
      </c>
      <c r="B222" s="1" t="s">
        <v>286</v>
      </c>
      <c r="C222">
        <v>4.5</v>
      </c>
      <c r="D222" t="str">
        <f>IF(Table2_2[[#This Row],[User_Rating]]&lt;4.164816,"Outlier","Normal")</f>
        <v>Normal</v>
      </c>
      <c r="E222">
        <v>25706</v>
      </c>
      <c r="F222" t="str">
        <f>IF(Table2_2[[#This Row],[Reviews]]&gt;$N$13,"Outlier"," Normal")</f>
        <v xml:space="preserve"> Normal</v>
      </c>
      <c r="G222">
        <v>12</v>
      </c>
      <c r="H222" t="str">
        <f>IF(Table2_2[[#This Row],[Price]]&gt;$N$20,"Outlier","Normal")</f>
        <v>Normal</v>
      </c>
      <c r="I222">
        <v>2018</v>
      </c>
      <c r="J222" t="str">
        <f>IF(Table2_2[[#This Row],[Year]]&gt;=2015,"Newer","Older")</f>
        <v>Newer</v>
      </c>
      <c r="K222" s="1" t="s">
        <v>11</v>
      </c>
    </row>
    <row r="223" spans="1:11" x14ac:dyDescent="0.35">
      <c r="A223" s="1" t="s">
        <v>287</v>
      </c>
      <c r="B223" s="1" t="s">
        <v>288</v>
      </c>
      <c r="C223">
        <v>4.5</v>
      </c>
      <c r="D223" t="str">
        <f>IF(Table2_2[[#This Row],[User_Rating]]&lt;4.164816,"Outlier","Normal")</f>
        <v>Normal</v>
      </c>
      <c r="E223">
        <v>8491</v>
      </c>
      <c r="F223" t="str">
        <f>IF(Table2_2[[#This Row],[Reviews]]&gt;$N$13,"Outlier"," Normal")</f>
        <v xml:space="preserve"> Normal</v>
      </c>
      <c r="G223">
        <v>7</v>
      </c>
      <c r="H223" t="str">
        <f>IF(Table2_2[[#This Row],[Price]]&gt;$N$20,"Outlier","Normal")</f>
        <v>Normal</v>
      </c>
      <c r="I223">
        <v>2014</v>
      </c>
      <c r="J223" t="str">
        <f>IF(Table2_2[[#This Row],[Year]]&gt;=2015,"Newer","Older")</f>
        <v>Older</v>
      </c>
      <c r="K223" s="1" t="s">
        <v>11</v>
      </c>
    </row>
    <row r="224" spans="1:11" x14ac:dyDescent="0.35">
      <c r="A224" s="1" t="s">
        <v>289</v>
      </c>
      <c r="B224" s="1" t="s">
        <v>290</v>
      </c>
      <c r="C224">
        <v>4.2</v>
      </c>
      <c r="D224" t="str">
        <f>IF(Table2_2[[#This Row],[User_Rating]]&lt;4.164816,"Outlier","Normal")</f>
        <v>Normal</v>
      </c>
      <c r="E224">
        <v>1649</v>
      </c>
      <c r="F224" t="str">
        <f>IF(Table2_2[[#This Row],[Reviews]]&gt;$N$13,"Outlier"," Normal")</f>
        <v xml:space="preserve"> Normal</v>
      </c>
      <c r="G224">
        <v>13</v>
      </c>
      <c r="H224" t="str">
        <f>IF(Table2_2[[#This Row],[Price]]&gt;$N$20,"Outlier","Normal")</f>
        <v>Normal</v>
      </c>
      <c r="I224">
        <v>2011</v>
      </c>
      <c r="J224" t="str">
        <f>IF(Table2_2[[#This Row],[Year]]&gt;=2015,"Newer","Older")</f>
        <v>Older</v>
      </c>
      <c r="K224" s="1" t="s">
        <v>8</v>
      </c>
    </row>
    <row r="225" spans="1:11" x14ac:dyDescent="0.35">
      <c r="A225" s="1" t="s">
        <v>291</v>
      </c>
      <c r="B225" s="1" t="s">
        <v>292</v>
      </c>
      <c r="C225">
        <v>4.8</v>
      </c>
      <c r="D225" t="str">
        <f>IF(Table2_2[[#This Row],[User_Rating]]&lt;4.164816,"Outlier","Normal")</f>
        <v>Normal</v>
      </c>
      <c r="E225">
        <v>18613</v>
      </c>
      <c r="F225" t="str">
        <f>IF(Table2_2[[#This Row],[Reviews]]&gt;$N$13,"Outlier"," Normal")</f>
        <v xml:space="preserve"> Normal</v>
      </c>
      <c r="G225">
        <v>5</v>
      </c>
      <c r="H225" t="str">
        <f>IF(Table2_2[[#This Row],[Price]]&gt;$N$20,"Outlier","Normal")</f>
        <v>Normal</v>
      </c>
      <c r="I225">
        <v>2014</v>
      </c>
      <c r="J225" t="str">
        <f>IF(Table2_2[[#This Row],[Year]]&gt;=2015,"Newer","Older")</f>
        <v>Older</v>
      </c>
      <c r="K225" s="1" t="s">
        <v>11</v>
      </c>
    </row>
    <row r="226" spans="1:11" x14ac:dyDescent="0.35">
      <c r="A226" s="1" t="s">
        <v>291</v>
      </c>
      <c r="B226" s="1" t="s">
        <v>292</v>
      </c>
      <c r="C226">
        <v>4.8</v>
      </c>
      <c r="D226" t="str">
        <f>IF(Table2_2[[#This Row],[User_Rating]]&lt;4.164816,"Outlier","Normal")</f>
        <v>Normal</v>
      </c>
      <c r="E226">
        <v>18613</v>
      </c>
      <c r="F226" t="str">
        <f>IF(Table2_2[[#This Row],[Reviews]]&gt;$N$13,"Outlier"," Normal")</f>
        <v xml:space="preserve"> Normal</v>
      </c>
      <c r="G226">
        <v>5</v>
      </c>
      <c r="H226" t="str">
        <f>IF(Table2_2[[#This Row],[Price]]&gt;$N$20,"Outlier","Normal")</f>
        <v>Normal</v>
      </c>
      <c r="I226">
        <v>2015</v>
      </c>
      <c r="J226" t="str">
        <f>IF(Table2_2[[#This Row],[Year]]&gt;=2015,"Newer","Older")</f>
        <v>Newer</v>
      </c>
      <c r="K226" s="1" t="s">
        <v>11</v>
      </c>
    </row>
    <row r="227" spans="1:11" x14ac:dyDescent="0.35">
      <c r="A227" s="1" t="s">
        <v>293</v>
      </c>
      <c r="B227" s="1" t="s">
        <v>223</v>
      </c>
      <c r="C227">
        <v>4.8</v>
      </c>
      <c r="D227" t="str">
        <f>IF(Table2_2[[#This Row],[User_Rating]]&lt;4.164816,"Outlier","Normal")</f>
        <v>Normal</v>
      </c>
      <c r="E227">
        <v>9867</v>
      </c>
      <c r="F227" t="str">
        <f>IF(Table2_2[[#This Row],[Reviews]]&gt;$N$13,"Outlier"," Normal")</f>
        <v xml:space="preserve"> Normal</v>
      </c>
      <c r="G227">
        <v>16</v>
      </c>
      <c r="H227" t="str">
        <f>IF(Table2_2[[#This Row],[Price]]&gt;$N$20,"Outlier","Normal")</f>
        <v>Normal</v>
      </c>
      <c r="I227">
        <v>2018</v>
      </c>
      <c r="J227" t="str">
        <f>IF(Table2_2[[#This Row],[Year]]&gt;=2015,"Newer","Older")</f>
        <v>Newer</v>
      </c>
      <c r="K227" s="1" t="s">
        <v>8</v>
      </c>
    </row>
    <row r="228" spans="1:11" x14ac:dyDescent="0.35">
      <c r="A228" s="1" t="s">
        <v>294</v>
      </c>
      <c r="B228" s="1" t="s">
        <v>63</v>
      </c>
      <c r="C228">
        <v>4.5</v>
      </c>
      <c r="D228" t="str">
        <f>IF(Table2_2[[#This Row],[User_Rating]]&lt;4.164816,"Outlier","Normal")</f>
        <v>Normal</v>
      </c>
      <c r="E228">
        <v>1386</v>
      </c>
      <c r="F228" t="str">
        <f>IF(Table2_2[[#This Row],[Reviews]]&gt;$N$13,"Outlier"," Normal")</f>
        <v xml:space="preserve"> Normal</v>
      </c>
      <c r="G228">
        <v>20</v>
      </c>
      <c r="H228" t="str">
        <f>IF(Table2_2[[#This Row],[Price]]&gt;$N$20,"Outlier","Normal")</f>
        <v>Normal</v>
      </c>
      <c r="I228">
        <v>2014</v>
      </c>
      <c r="J228" t="str">
        <f>IF(Table2_2[[#This Row],[Year]]&gt;=2015,"Newer","Older")</f>
        <v>Older</v>
      </c>
      <c r="K228" s="1" t="s">
        <v>8</v>
      </c>
    </row>
    <row r="229" spans="1:11" x14ac:dyDescent="0.35">
      <c r="A229" s="1" t="s">
        <v>295</v>
      </c>
      <c r="B229" s="1" t="s">
        <v>296</v>
      </c>
      <c r="C229">
        <v>4.7</v>
      </c>
      <c r="D229" t="str">
        <f>IF(Table2_2[[#This Row],[User_Rating]]&lt;4.164816,"Outlier","Normal")</f>
        <v>Normal</v>
      </c>
      <c r="E229">
        <v>10199</v>
      </c>
      <c r="F229" t="str">
        <f>IF(Table2_2[[#This Row],[Reviews]]&gt;$N$13,"Outlier"," Normal")</f>
        <v xml:space="preserve"> Normal</v>
      </c>
      <c r="G229">
        <v>11</v>
      </c>
      <c r="H229" t="str">
        <f>IF(Table2_2[[#This Row],[Price]]&gt;$N$20,"Outlier","Normal")</f>
        <v>Normal</v>
      </c>
      <c r="I229">
        <v>2017</v>
      </c>
      <c r="J229" t="str">
        <f>IF(Table2_2[[#This Row],[Year]]&gt;=2015,"Newer","Older")</f>
        <v>Newer</v>
      </c>
      <c r="K229" s="1" t="s">
        <v>8</v>
      </c>
    </row>
    <row r="230" spans="1:11" x14ac:dyDescent="0.35">
      <c r="A230" s="1" t="s">
        <v>297</v>
      </c>
      <c r="B230" s="1" t="s">
        <v>298</v>
      </c>
      <c r="C230">
        <v>4.8</v>
      </c>
      <c r="D230" t="str">
        <f>IF(Table2_2[[#This Row],[User_Rating]]&lt;4.164816,"Outlier","Normal")</f>
        <v>Normal</v>
      </c>
      <c r="E230">
        <v>2926</v>
      </c>
      <c r="F230" t="str">
        <f>IF(Table2_2[[#This Row],[Reviews]]&gt;$N$13,"Outlier"," Normal")</f>
        <v xml:space="preserve"> Normal</v>
      </c>
      <c r="G230">
        <v>27</v>
      </c>
      <c r="H230" t="str">
        <f>IF(Table2_2[[#This Row],[Price]]&gt;$N$20,"Outlier","Normal")</f>
        <v>Normal</v>
      </c>
      <c r="I230">
        <v>2009</v>
      </c>
      <c r="J230" t="str">
        <f>IF(Table2_2[[#This Row],[Year]]&gt;=2015,"Newer","Older")</f>
        <v>Older</v>
      </c>
      <c r="K230" s="1" t="s">
        <v>8</v>
      </c>
    </row>
    <row r="231" spans="1:11" x14ac:dyDescent="0.35">
      <c r="A231" s="1" t="s">
        <v>299</v>
      </c>
      <c r="B231" s="1" t="s">
        <v>300</v>
      </c>
      <c r="C231">
        <v>4.7</v>
      </c>
      <c r="D231" t="str">
        <f>IF(Table2_2[[#This Row],[User_Rating]]&lt;4.164816,"Outlier","Normal")</f>
        <v>Normal</v>
      </c>
      <c r="E231">
        <v>17739</v>
      </c>
      <c r="F231" t="str">
        <f>IF(Table2_2[[#This Row],[Reviews]]&gt;$N$13,"Outlier"," Normal")</f>
        <v xml:space="preserve"> Normal</v>
      </c>
      <c r="G231">
        <v>8</v>
      </c>
      <c r="H231" t="str">
        <f>IF(Table2_2[[#This Row],[Price]]&gt;$N$20,"Outlier","Normal")</f>
        <v>Normal</v>
      </c>
      <c r="I231">
        <v>2016</v>
      </c>
      <c r="J231" t="str">
        <f>IF(Table2_2[[#This Row],[Year]]&gt;=2015,"Newer","Older")</f>
        <v>Newer</v>
      </c>
      <c r="K231" s="1" t="s">
        <v>8</v>
      </c>
    </row>
    <row r="232" spans="1:11" x14ac:dyDescent="0.35">
      <c r="A232" s="1" t="s">
        <v>299</v>
      </c>
      <c r="B232" s="1" t="s">
        <v>300</v>
      </c>
      <c r="C232">
        <v>4.7</v>
      </c>
      <c r="D232" t="str">
        <f>IF(Table2_2[[#This Row],[User_Rating]]&lt;4.164816,"Outlier","Normal")</f>
        <v>Normal</v>
      </c>
      <c r="E232">
        <v>17739</v>
      </c>
      <c r="F232" t="str">
        <f>IF(Table2_2[[#This Row],[Reviews]]&gt;$N$13,"Outlier"," Normal")</f>
        <v xml:space="preserve"> Normal</v>
      </c>
      <c r="G232">
        <v>8</v>
      </c>
      <c r="H232" t="str">
        <f>IF(Table2_2[[#This Row],[Price]]&gt;$N$20,"Outlier","Normal")</f>
        <v>Normal</v>
      </c>
      <c r="I232">
        <v>2017</v>
      </c>
      <c r="J232" t="str">
        <f>IF(Table2_2[[#This Row],[Year]]&gt;=2015,"Newer","Older")</f>
        <v>Newer</v>
      </c>
      <c r="K232" s="1" t="s">
        <v>8</v>
      </c>
    </row>
    <row r="233" spans="1:11" x14ac:dyDescent="0.35">
      <c r="A233" s="1" t="s">
        <v>299</v>
      </c>
      <c r="B233" s="1" t="s">
        <v>300</v>
      </c>
      <c r="C233">
        <v>4.7</v>
      </c>
      <c r="D233" t="str">
        <f>IF(Table2_2[[#This Row],[User_Rating]]&lt;4.164816,"Outlier","Normal")</f>
        <v>Normal</v>
      </c>
      <c r="E233">
        <v>17739</v>
      </c>
      <c r="F233" t="str">
        <f>IF(Table2_2[[#This Row],[Reviews]]&gt;$N$13,"Outlier"," Normal")</f>
        <v xml:space="preserve"> Normal</v>
      </c>
      <c r="G233">
        <v>8</v>
      </c>
      <c r="H233" t="str">
        <f>IF(Table2_2[[#This Row],[Price]]&gt;$N$20,"Outlier","Normal")</f>
        <v>Normal</v>
      </c>
      <c r="I233">
        <v>2018</v>
      </c>
      <c r="J233" t="str">
        <f>IF(Table2_2[[#This Row],[Year]]&gt;=2015,"Newer","Older")</f>
        <v>Newer</v>
      </c>
      <c r="K233" s="1" t="s">
        <v>8</v>
      </c>
    </row>
    <row r="234" spans="1:11" x14ac:dyDescent="0.35">
      <c r="A234" s="1" t="s">
        <v>301</v>
      </c>
      <c r="B234" s="1" t="s">
        <v>302</v>
      </c>
      <c r="C234">
        <v>4.4000000000000004</v>
      </c>
      <c r="D234" t="str">
        <f>IF(Table2_2[[#This Row],[User_Rating]]&lt;4.164816,"Outlier","Normal")</f>
        <v>Normal</v>
      </c>
      <c r="E234">
        <v>3113</v>
      </c>
      <c r="F234" t="str">
        <f>IF(Table2_2[[#This Row],[Reviews]]&gt;$N$13,"Outlier"," Normal")</f>
        <v xml:space="preserve"> Normal</v>
      </c>
      <c r="G234">
        <v>6</v>
      </c>
      <c r="H234" t="str">
        <f>IF(Table2_2[[#This Row],[Price]]&gt;$N$20,"Outlier","Normal")</f>
        <v>Normal</v>
      </c>
      <c r="I234">
        <v>2017</v>
      </c>
      <c r="J234" t="str">
        <f>IF(Table2_2[[#This Row],[Year]]&gt;=2015,"Newer","Older")</f>
        <v>Newer</v>
      </c>
      <c r="K234" s="1" t="s">
        <v>8</v>
      </c>
    </row>
    <row r="235" spans="1:11" x14ac:dyDescent="0.35">
      <c r="A235" s="1" t="s">
        <v>303</v>
      </c>
      <c r="B235" s="1" t="s">
        <v>304</v>
      </c>
      <c r="C235">
        <v>4.5999999999999996</v>
      </c>
      <c r="D235" t="str">
        <f>IF(Table2_2[[#This Row],[User_Rating]]&lt;4.164816,"Outlier","Normal")</f>
        <v>Normal</v>
      </c>
      <c r="E235">
        <v>5542</v>
      </c>
      <c r="F235" t="str">
        <f>IF(Table2_2[[#This Row],[Reviews]]&gt;$N$13,"Outlier"," Normal")</f>
        <v xml:space="preserve"> Normal</v>
      </c>
      <c r="G235">
        <v>10</v>
      </c>
      <c r="H235" t="str">
        <f>IF(Table2_2[[#This Row],[Price]]&gt;$N$20,"Outlier","Normal")</f>
        <v>Normal</v>
      </c>
      <c r="I235">
        <v>2014</v>
      </c>
      <c r="J235" t="str">
        <f>IF(Table2_2[[#This Row],[Year]]&gt;=2015,"Newer","Older")</f>
        <v>Older</v>
      </c>
      <c r="K235" s="1" t="s">
        <v>8</v>
      </c>
    </row>
    <row r="236" spans="1:11" x14ac:dyDescent="0.35">
      <c r="A236" s="1" t="s">
        <v>303</v>
      </c>
      <c r="B236" s="1" t="s">
        <v>304</v>
      </c>
      <c r="C236">
        <v>4.5999999999999996</v>
      </c>
      <c r="D236" t="str">
        <f>IF(Table2_2[[#This Row],[User_Rating]]&lt;4.164816,"Outlier","Normal")</f>
        <v>Normal</v>
      </c>
      <c r="E236">
        <v>5542</v>
      </c>
      <c r="F236" t="str">
        <f>IF(Table2_2[[#This Row],[Reviews]]&gt;$N$13,"Outlier"," Normal")</f>
        <v xml:space="preserve"> Normal</v>
      </c>
      <c r="G236">
        <v>10</v>
      </c>
      <c r="H236" t="str">
        <f>IF(Table2_2[[#This Row],[Price]]&gt;$N$20,"Outlier","Normal")</f>
        <v>Normal</v>
      </c>
      <c r="I236">
        <v>2015</v>
      </c>
      <c r="J236" t="str">
        <f>IF(Table2_2[[#This Row],[Year]]&gt;=2015,"Newer","Older")</f>
        <v>Newer</v>
      </c>
      <c r="K236" s="1" t="s">
        <v>8</v>
      </c>
    </row>
    <row r="237" spans="1:11" x14ac:dyDescent="0.35">
      <c r="A237" s="1" t="s">
        <v>303</v>
      </c>
      <c r="B237" s="1" t="s">
        <v>304</v>
      </c>
      <c r="C237">
        <v>4.5999999999999996</v>
      </c>
      <c r="D237" t="str">
        <f>IF(Table2_2[[#This Row],[User_Rating]]&lt;4.164816,"Outlier","Normal")</f>
        <v>Normal</v>
      </c>
      <c r="E237">
        <v>5542</v>
      </c>
      <c r="F237" t="str">
        <f>IF(Table2_2[[#This Row],[Reviews]]&gt;$N$13,"Outlier"," Normal")</f>
        <v xml:space="preserve"> Normal</v>
      </c>
      <c r="G237">
        <v>10</v>
      </c>
      <c r="H237" t="str">
        <f>IF(Table2_2[[#This Row],[Price]]&gt;$N$20,"Outlier","Normal")</f>
        <v>Normal</v>
      </c>
      <c r="I237">
        <v>2016</v>
      </c>
      <c r="J237" t="str">
        <f>IF(Table2_2[[#This Row],[Year]]&gt;=2015,"Newer","Older")</f>
        <v>Newer</v>
      </c>
      <c r="K237" s="1" t="s">
        <v>8</v>
      </c>
    </row>
    <row r="238" spans="1:11" x14ac:dyDescent="0.35">
      <c r="A238" s="1" t="s">
        <v>305</v>
      </c>
      <c r="B238" s="1" t="s">
        <v>87</v>
      </c>
      <c r="C238">
        <v>4.5</v>
      </c>
      <c r="D238" t="str">
        <f>IF(Table2_2[[#This Row],[User_Rating]]&lt;4.164816,"Outlier","Normal")</f>
        <v>Normal</v>
      </c>
      <c r="E238">
        <v>26741</v>
      </c>
      <c r="F238" t="str">
        <f>IF(Table2_2[[#This Row],[Reviews]]&gt;$N$13,"Outlier"," Normal")</f>
        <v xml:space="preserve"> Normal</v>
      </c>
      <c r="G238">
        <v>8</v>
      </c>
      <c r="H238" t="str">
        <f>IF(Table2_2[[#This Row],[Price]]&gt;$N$20,"Outlier","Normal")</f>
        <v>Normal</v>
      </c>
      <c r="I238">
        <v>2010</v>
      </c>
      <c r="J238" t="str">
        <f>IF(Table2_2[[#This Row],[Year]]&gt;=2015,"Newer","Older")</f>
        <v>Older</v>
      </c>
      <c r="K238" s="1" t="s">
        <v>11</v>
      </c>
    </row>
    <row r="239" spans="1:11" x14ac:dyDescent="0.35">
      <c r="A239" s="1" t="s">
        <v>305</v>
      </c>
      <c r="B239" s="1" t="s">
        <v>87</v>
      </c>
      <c r="C239">
        <v>4.5</v>
      </c>
      <c r="D239" t="str">
        <f>IF(Table2_2[[#This Row],[User_Rating]]&lt;4.164816,"Outlier","Normal")</f>
        <v>Normal</v>
      </c>
      <c r="E239">
        <v>26741</v>
      </c>
      <c r="F239" t="str">
        <f>IF(Table2_2[[#This Row],[Reviews]]&gt;$N$13,"Outlier"," Normal")</f>
        <v xml:space="preserve"> Normal</v>
      </c>
      <c r="G239">
        <v>8</v>
      </c>
      <c r="H239" t="str">
        <f>IF(Table2_2[[#This Row],[Price]]&gt;$N$20,"Outlier","Normal")</f>
        <v>Normal</v>
      </c>
      <c r="I239">
        <v>2011</v>
      </c>
      <c r="J239" t="str">
        <f>IF(Table2_2[[#This Row],[Year]]&gt;=2015,"Newer","Older")</f>
        <v>Older</v>
      </c>
      <c r="K239" s="1" t="s">
        <v>11</v>
      </c>
    </row>
    <row r="240" spans="1:11" x14ac:dyDescent="0.35">
      <c r="A240" s="1" t="s">
        <v>305</v>
      </c>
      <c r="B240" s="1" t="s">
        <v>87</v>
      </c>
      <c r="C240">
        <v>4.5</v>
      </c>
      <c r="D240" t="str">
        <f>IF(Table2_2[[#This Row],[User_Rating]]&lt;4.164816,"Outlier","Normal")</f>
        <v>Normal</v>
      </c>
      <c r="E240">
        <v>26741</v>
      </c>
      <c r="F240" t="str">
        <f>IF(Table2_2[[#This Row],[Reviews]]&gt;$N$13,"Outlier"," Normal")</f>
        <v xml:space="preserve"> Normal</v>
      </c>
      <c r="G240">
        <v>8</v>
      </c>
      <c r="H240" t="str">
        <f>IF(Table2_2[[#This Row],[Price]]&gt;$N$20,"Outlier","Normal")</f>
        <v>Normal</v>
      </c>
      <c r="I240">
        <v>2012</v>
      </c>
      <c r="J240" t="str">
        <f>IF(Table2_2[[#This Row],[Year]]&gt;=2015,"Newer","Older")</f>
        <v>Older</v>
      </c>
      <c r="K240" s="1" t="s">
        <v>11</v>
      </c>
    </row>
    <row r="241" spans="1:11" x14ac:dyDescent="0.35">
      <c r="A241" s="1" t="s">
        <v>306</v>
      </c>
      <c r="B241" s="1" t="s">
        <v>307</v>
      </c>
      <c r="C241">
        <v>4.8</v>
      </c>
      <c r="D241" t="str">
        <f>IF(Table2_2[[#This Row],[User_Rating]]&lt;4.164816,"Outlier","Normal")</f>
        <v>Normal</v>
      </c>
      <c r="E241">
        <v>5347</v>
      </c>
      <c r="F241" t="str">
        <f>IF(Table2_2[[#This Row],[Reviews]]&gt;$N$13,"Outlier"," Normal")</f>
        <v xml:space="preserve"> Normal</v>
      </c>
      <c r="G241">
        <v>16</v>
      </c>
      <c r="H241" t="str">
        <f>IF(Table2_2[[#This Row],[Price]]&gt;$N$20,"Outlier","Normal")</f>
        <v>Normal</v>
      </c>
      <c r="I241">
        <v>2019</v>
      </c>
      <c r="J241" t="str">
        <f>IF(Table2_2[[#This Row],[Year]]&gt;=2015,"Newer","Older")</f>
        <v>Newer</v>
      </c>
      <c r="K241" s="1" t="s">
        <v>8</v>
      </c>
    </row>
    <row r="242" spans="1:11" x14ac:dyDescent="0.35">
      <c r="A242" s="1" t="s">
        <v>308</v>
      </c>
      <c r="B242" s="1" t="s">
        <v>309</v>
      </c>
      <c r="C242">
        <v>4.8</v>
      </c>
      <c r="D242" t="str">
        <f>IF(Table2_2[[#This Row],[User_Rating]]&lt;4.164816,"Outlier","Normal")</f>
        <v>Normal</v>
      </c>
      <c r="E242">
        <v>7866</v>
      </c>
      <c r="F242" t="str">
        <f>IF(Table2_2[[#This Row],[Reviews]]&gt;$N$13,"Outlier"," Normal")</f>
        <v xml:space="preserve"> Normal</v>
      </c>
      <c r="G242">
        <v>11</v>
      </c>
      <c r="H242" t="str">
        <f>IF(Table2_2[[#This Row],[Price]]&gt;$N$20,"Outlier","Normal")</f>
        <v>Normal</v>
      </c>
      <c r="I242">
        <v>2019</v>
      </c>
      <c r="J242" t="str">
        <f>IF(Table2_2[[#This Row],[Year]]&gt;=2015,"Newer","Older")</f>
        <v>Newer</v>
      </c>
      <c r="K242" s="1" t="s">
        <v>8</v>
      </c>
    </row>
    <row r="243" spans="1:11" x14ac:dyDescent="0.35">
      <c r="A243" s="1" t="s">
        <v>310</v>
      </c>
      <c r="B243" s="1" t="s">
        <v>74</v>
      </c>
      <c r="C243">
        <v>4.5999999999999996</v>
      </c>
      <c r="D243" t="str">
        <f>IF(Table2_2[[#This Row],[User_Rating]]&lt;4.164816,"Outlier","Normal")</f>
        <v>Normal</v>
      </c>
      <c r="E243">
        <v>5680</v>
      </c>
      <c r="F243" t="str">
        <f>IF(Table2_2[[#This Row],[Reviews]]&gt;$N$13,"Outlier"," Normal")</f>
        <v xml:space="preserve"> Normal</v>
      </c>
      <c r="G243">
        <v>10</v>
      </c>
      <c r="H243" t="str">
        <f>IF(Table2_2[[#This Row],[Price]]&gt;$N$20,"Outlier","Normal")</f>
        <v>Normal</v>
      </c>
      <c r="I243">
        <v>2009</v>
      </c>
      <c r="J243" t="str">
        <f>IF(Table2_2[[#This Row],[Year]]&gt;=2015,"Newer","Older")</f>
        <v>Older</v>
      </c>
      <c r="K243" s="1" t="s">
        <v>11</v>
      </c>
    </row>
    <row r="244" spans="1:11" x14ac:dyDescent="0.35">
      <c r="A244" s="1" t="s">
        <v>311</v>
      </c>
      <c r="B244" s="1" t="s">
        <v>312</v>
      </c>
      <c r="C244">
        <v>4.7</v>
      </c>
      <c r="D244" t="str">
        <f>IF(Table2_2[[#This Row],[User_Rating]]&lt;4.164816,"Outlier","Normal")</f>
        <v>Normal</v>
      </c>
      <c r="E244">
        <v>5178</v>
      </c>
      <c r="F244" t="str">
        <f>IF(Table2_2[[#This Row],[Reviews]]&gt;$N$13,"Outlier"," Normal")</f>
        <v xml:space="preserve"> Normal</v>
      </c>
      <c r="G244">
        <v>9</v>
      </c>
      <c r="H244" t="str">
        <f>IF(Table2_2[[#This Row],[Price]]&gt;$N$20,"Outlier","Normal")</f>
        <v>Normal</v>
      </c>
      <c r="I244">
        <v>2016</v>
      </c>
      <c r="J244" t="str">
        <f>IF(Table2_2[[#This Row],[Year]]&gt;=2015,"Newer","Older")</f>
        <v>Newer</v>
      </c>
      <c r="K244" s="1" t="s">
        <v>8</v>
      </c>
    </row>
    <row r="245" spans="1:11" x14ac:dyDescent="0.35">
      <c r="A245" s="1" t="s">
        <v>313</v>
      </c>
      <c r="B245" s="1" t="s">
        <v>314</v>
      </c>
      <c r="C245">
        <v>4.5999999999999996</v>
      </c>
      <c r="D245" t="str">
        <f>IF(Table2_2[[#This Row],[User_Rating]]&lt;4.164816,"Outlier","Normal")</f>
        <v>Normal</v>
      </c>
      <c r="E245">
        <v>8093</v>
      </c>
      <c r="F245" t="str">
        <f>IF(Table2_2[[#This Row],[Reviews]]&gt;$N$13,"Outlier"," Normal")</f>
        <v xml:space="preserve"> Normal</v>
      </c>
      <c r="G245">
        <v>14</v>
      </c>
      <c r="H245" t="str">
        <f>IF(Table2_2[[#This Row],[Price]]&gt;$N$20,"Outlier","Normal")</f>
        <v>Normal</v>
      </c>
      <c r="I245">
        <v>2012</v>
      </c>
      <c r="J245" t="str">
        <f>IF(Table2_2[[#This Row],[Year]]&gt;=2015,"Newer","Older")</f>
        <v>Older</v>
      </c>
      <c r="K245" s="1" t="s">
        <v>8</v>
      </c>
    </row>
    <row r="246" spans="1:11" x14ac:dyDescent="0.35">
      <c r="A246" s="1" t="s">
        <v>315</v>
      </c>
      <c r="B246" s="1" t="s">
        <v>316</v>
      </c>
      <c r="C246">
        <v>4.9000000000000004</v>
      </c>
      <c r="D246" t="str">
        <f>IF(Table2_2[[#This Row],[User_Rating]]&lt;4.164816,"Outlier","Normal")</f>
        <v>Normal</v>
      </c>
      <c r="E246">
        <v>3192</v>
      </c>
      <c r="F246" t="str">
        <f>IF(Table2_2[[#This Row],[Reviews]]&gt;$N$13,"Outlier"," Normal")</f>
        <v xml:space="preserve"> Normal</v>
      </c>
      <c r="G246">
        <v>22</v>
      </c>
      <c r="H246" t="str">
        <f>IF(Table2_2[[#This Row],[Price]]&gt;$N$20,"Outlier","Normal")</f>
        <v>Normal</v>
      </c>
      <c r="I246">
        <v>2017</v>
      </c>
      <c r="J246" t="str">
        <f>IF(Table2_2[[#This Row],[Year]]&gt;=2015,"Newer","Older")</f>
        <v>Newer</v>
      </c>
      <c r="K246" s="1" t="s">
        <v>8</v>
      </c>
    </row>
    <row r="247" spans="1:11" x14ac:dyDescent="0.35">
      <c r="A247" s="1" t="s">
        <v>317</v>
      </c>
      <c r="B247" s="1" t="s">
        <v>318</v>
      </c>
      <c r="C247">
        <v>4.9000000000000004</v>
      </c>
      <c r="D247" t="str">
        <f>IF(Table2_2[[#This Row],[User_Rating]]&lt;4.164816,"Outlier","Normal")</f>
        <v>Normal</v>
      </c>
      <c r="E247">
        <v>21834</v>
      </c>
      <c r="F247" t="str">
        <f>IF(Table2_2[[#This Row],[Reviews]]&gt;$N$13,"Outlier"," Normal")</f>
        <v xml:space="preserve"> Normal</v>
      </c>
      <c r="G247">
        <v>8</v>
      </c>
      <c r="H247" t="str">
        <f>IF(Table2_2[[#This Row],[Price]]&gt;$N$20,"Outlier","Normal")</f>
        <v>Normal</v>
      </c>
      <c r="I247">
        <v>2012</v>
      </c>
      <c r="J247" t="str">
        <f>IF(Table2_2[[#This Row],[Year]]&gt;=2015,"Newer","Older")</f>
        <v>Older</v>
      </c>
      <c r="K247" s="1" t="s">
        <v>11</v>
      </c>
    </row>
    <row r="248" spans="1:11" x14ac:dyDescent="0.35">
      <c r="A248" s="1" t="s">
        <v>317</v>
      </c>
      <c r="B248" s="1" t="s">
        <v>318</v>
      </c>
      <c r="C248">
        <v>4.9000000000000004</v>
      </c>
      <c r="D248" t="str">
        <f>IF(Table2_2[[#This Row],[User_Rating]]&lt;4.164816,"Outlier","Normal")</f>
        <v>Normal</v>
      </c>
      <c r="E248">
        <v>21834</v>
      </c>
      <c r="F248" t="str">
        <f>IF(Table2_2[[#This Row],[Reviews]]&gt;$N$13,"Outlier"," Normal")</f>
        <v xml:space="preserve"> Normal</v>
      </c>
      <c r="G248">
        <v>8</v>
      </c>
      <c r="H248" t="str">
        <f>IF(Table2_2[[#This Row],[Price]]&gt;$N$20,"Outlier","Normal")</f>
        <v>Normal</v>
      </c>
      <c r="I248">
        <v>2013</v>
      </c>
      <c r="J248" t="str">
        <f>IF(Table2_2[[#This Row],[Year]]&gt;=2015,"Newer","Older")</f>
        <v>Older</v>
      </c>
      <c r="K248" s="1" t="s">
        <v>11</v>
      </c>
    </row>
    <row r="249" spans="1:11" x14ac:dyDescent="0.35">
      <c r="A249" s="1" t="s">
        <v>317</v>
      </c>
      <c r="B249" s="1" t="s">
        <v>318</v>
      </c>
      <c r="C249">
        <v>4.9000000000000004</v>
      </c>
      <c r="D249" t="str">
        <f>IF(Table2_2[[#This Row],[User_Rating]]&lt;4.164816,"Outlier","Normal")</f>
        <v>Normal</v>
      </c>
      <c r="E249">
        <v>21834</v>
      </c>
      <c r="F249" t="str">
        <f>IF(Table2_2[[#This Row],[Reviews]]&gt;$N$13,"Outlier"," Normal")</f>
        <v xml:space="preserve"> Normal</v>
      </c>
      <c r="G249">
        <v>8</v>
      </c>
      <c r="H249" t="str">
        <f>IF(Table2_2[[#This Row],[Price]]&gt;$N$20,"Outlier","Normal")</f>
        <v>Normal</v>
      </c>
      <c r="I249">
        <v>2014</v>
      </c>
      <c r="J249" t="str">
        <f>IF(Table2_2[[#This Row],[Year]]&gt;=2015,"Newer","Older")</f>
        <v>Older</v>
      </c>
      <c r="K249" s="1" t="s">
        <v>11</v>
      </c>
    </row>
    <row r="250" spans="1:11" x14ac:dyDescent="0.35">
      <c r="A250" s="1" t="s">
        <v>317</v>
      </c>
      <c r="B250" s="1" t="s">
        <v>318</v>
      </c>
      <c r="C250">
        <v>4.9000000000000004</v>
      </c>
      <c r="D250" t="str">
        <f>IF(Table2_2[[#This Row],[User_Rating]]&lt;4.164816,"Outlier","Normal")</f>
        <v>Normal</v>
      </c>
      <c r="E250">
        <v>21834</v>
      </c>
      <c r="F250" t="str">
        <f>IF(Table2_2[[#This Row],[Reviews]]&gt;$N$13,"Outlier"," Normal")</f>
        <v xml:space="preserve"> Normal</v>
      </c>
      <c r="G250">
        <v>8</v>
      </c>
      <c r="H250" t="str">
        <f>IF(Table2_2[[#This Row],[Price]]&gt;$N$20,"Outlier","Normal")</f>
        <v>Normal</v>
      </c>
      <c r="I250">
        <v>2015</v>
      </c>
      <c r="J250" t="str">
        <f>IF(Table2_2[[#This Row],[Year]]&gt;=2015,"Newer","Older")</f>
        <v>Newer</v>
      </c>
      <c r="K250" s="1" t="s">
        <v>11</v>
      </c>
    </row>
    <row r="251" spans="1:11" x14ac:dyDescent="0.35">
      <c r="A251" s="1" t="s">
        <v>317</v>
      </c>
      <c r="B251" s="1" t="s">
        <v>318</v>
      </c>
      <c r="C251">
        <v>4.9000000000000004</v>
      </c>
      <c r="D251" t="str">
        <f>IF(Table2_2[[#This Row],[User_Rating]]&lt;4.164816,"Outlier","Normal")</f>
        <v>Normal</v>
      </c>
      <c r="E251">
        <v>21834</v>
      </c>
      <c r="F251" t="str">
        <f>IF(Table2_2[[#This Row],[Reviews]]&gt;$N$13,"Outlier"," Normal")</f>
        <v xml:space="preserve"> Normal</v>
      </c>
      <c r="G251">
        <v>8</v>
      </c>
      <c r="H251" t="str">
        <f>IF(Table2_2[[#This Row],[Price]]&gt;$N$20,"Outlier","Normal")</f>
        <v>Normal</v>
      </c>
      <c r="I251">
        <v>2016</v>
      </c>
      <c r="J251" t="str">
        <f>IF(Table2_2[[#This Row],[Year]]&gt;=2015,"Newer","Older")</f>
        <v>Newer</v>
      </c>
      <c r="K251" s="1" t="s">
        <v>11</v>
      </c>
    </row>
    <row r="252" spans="1:11" x14ac:dyDescent="0.35">
      <c r="A252" s="1" t="s">
        <v>317</v>
      </c>
      <c r="B252" s="1" t="s">
        <v>318</v>
      </c>
      <c r="C252">
        <v>4.9000000000000004</v>
      </c>
      <c r="D252" t="str">
        <f>IF(Table2_2[[#This Row],[User_Rating]]&lt;4.164816,"Outlier","Normal")</f>
        <v>Normal</v>
      </c>
      <c r="E252">
        <v>21834</v>
      </c>
      <c r="F252" t="str">
        <f>IF(Table2_2[[#This Row],[Reviews]]&gt;$N$13,"Outlier"," Normal")</f>
        <v xml:space="preserve"> Normal</v>
      </c>
      <c r="G252">
        <v>8</v>
      </c>
      <c r="H252" t="str">
        <f>IF(Table2_2[[#This Row],[Price]]&gt;$N$20,"Outlier","Normal")</f>
        <v>Normal</v>
      </c>
      <c r="I252">
        <v>2017</v>
      </c>
      <c r="J252" t="str">
        <f>IF(Table2_2[[#This Row],[Year]]&gt;=2015,"Newer","Older")</f>
        <v>Newer</v>
      </c>
      <c r="K252" s="1" t="s">
        <v>11</v>
      </c>
    </row>
    <row r="253" spans="1:11" x14ac:dyDescent="0.35">
      <c r="A253" s="1" t="s">
        <v>317</v>
      </c>
      <c r="B253" s="1" t="s">
        <v>318</v>
      </c>
      <c r="C253">
        <v>4.9000000000000004</v>
      </c>
      <c r="D253" t="str">
        <f>IF(Table2_2[[#This Row],[User_Rating]]&lt;4.164816,"Outlier","Normal")</f>
        <v>Normal</v>
      </c>
      <c r="E253">
        <v>21834</v>
      </c>
      <c r="F253" t="str">
        <f>IF(Table2_2[[#This Row],[Reviews]]&gt;$N$13,"Outlier"," Normal")</f>
        <v xml:space="preserve"> Normal</v>
      </c>
      <c r="G253">
        <v>8</v>
      </c>
      <c r="H253" t="str">
        <f>IF(Table2_2[[#This Row],[Price]]&gt;$N$20,"Outlier","Normal")</f>
        <v>Normal</v>
      </c>
      <c r="I253">
        <v>2018</v>
      </c>
      <c r="J253" t="str">
        <f>IF(Table2_2[[#This Row],[Year]]&gt;=2015,"Newer","Older")</f>
        <v>Newer</v>
      </c>
      <c r="K253" s="1" t="s">
        <v>11</v>
      </c>
    </row>
    <row r="254" spans="1:11" x14ac:dyDescent="0.35">
      <c r="A254" s="1" t="s">
        <v>317</v>
      </c>
      <c r="B254" s="1" t="s">
        <v>318</v>
      </c>
      <c r="C254">
        <v>4.9000000000000004</v>
      </c>
      <c r="D254" t="str">
        <f>IF(Table2_2[[#This Row],[User_Rating]]&lt;4.164816,"Outlier","Normal")</f>
        <v>Normal</v>
      </c>
      <c r="E254">
        <v>21834</v>
      </c>
      <c r="F254" t="str">
        <f>IF(Table2_2[[#This Row],[Reviews]]&gt;$N$13,"Outlier"," Normal")</f>
        <v xml:space="preserve"> Normal</v>
      </c>
      <c r="G254">
        <v>8</v>
      </c>
      <c r="H254" t="str">
        <f>IF(Table2_2[[#This Row],[Price]]&gt;$N$20,"Outlier","Normal")</f>
        <v>Normal</v>
      </c>
      <c r="I254">
        <v>2019</v>
      </c>
      <c r="J254" t="str">
        <f>IF(Table2_2[[#This Row],[Year]]&gt;=2015,"Newer","Older")</f>
        <v>Newer</v>
      </c>
      <c r="K254" s="1" t="s">
        <v>11</v>
      </c>
    </row>
    <row r="255" spans="1:11" x14ac:dyDescent="0.35">
      <c r="A255" s="1" t="s">
        <v>319</v>
      </c>
      <c r="B255" s="1" t="s">
        <v>79</v>
      </c>
      <c r="C255">
        <v>4.8</v>
      </c>
      <c r="D255" t="str">
        <f>IF(Table2_2[[#This Row],[User_Rating]]&lt;4.164816,"Outlier","Normal")</f>
        <v>Normal</v>
      </c>
      <c r="E255">
        <v>6169</v>
      </c>
      <c r="F255" t="str">
        <f>IF(Table2_2[[#This Row],[Reviews]]&gt;$N$13,"Outlier"," Normal")</f>
        <v xml:space="preserve"> Normal</v>
      </c>
      <c r="G255">
        <v>7</v>
      </c>
      <c r="H255" t="str">
        <f>IF(Table2_2[[#This Row],[Price]]&gt;$N$20,"Outlier","Normal")</f>
        <v>Normal</v>
      </c>
      <c r="I255">
        <v>2015</v>
      </c>
      <c r="J255" t="str">
        <f>IF(Table2_2[[#This Row],[Year]]&gt;=2015,"Newer","Older")</f>
        <v>Newer</v>
      </c>
      <c r="K255" s="1" t="s">
        <v>11</v>
      </c>
    </row>
    <row r="256" spans="1:11" x14ac:dyDescent="0.35">
      <c r="A256" s="1" t="s">
        <v>320</v>
      </c>
      <c r="B256" s="1" t="s">
        <v>321</v>
      </c>
      <c r="C256">
        <v>4.2</v>
      </c>
      <c r="D256" t="str">
        <f>IF(Table2_2[[#This Row],[User_Rating]]&lt;4.164816,"Outlier","Normal")</f>
        <v>Normal</v>
      </c>
      <c r="E256">
        <v>4519</v>
      </c>
      <c r="F256" t="str">
        <f>IF(Table2_2[[#This Row],[Reviews]]&gt;$N$13,"Outlier"," Normal")</f>
        <v xml:space="preserve"> Normal</v>
      </c>
      <c r="G256">
        <v>12</v>
      </c>
      <c r="H256" t="str">
        <f>IF(Table2_2[[#This Row],[Price]]&gt;$N$20,"Outlier","Normal")</f>
        <v>Normal</v>
      </c>
      <c r="I256">
        <v>2009</v>
      </c>
      <c r="J256" t="str">
        <f>IF(Table2_2[[#This Row],[Year]]&gt;=2015,"Newer","Older")</f>
        <v>Older</v>
      </c>
      <c r="K256" s="1" t="s">
        <v>11</v>
      </c>
    </row>
    <row r="257" spans="1:11" x14ac:dyDescent="0.35">
      <c r="A257" s="1" t="s">
        <v>322</v>
      </c>
      <c r="B257" s="1" t="s">
        <v>323</v>
      </c>
      <c r="C257">
        <v>4.5999999999999996</v>
      </c>
      <c r="D257" t="str">
        <f>IF(Table2_2[[#This Row],[User_Rating]]&lt;4.164816,"Outlier","Normal")</f>
        <v>Normal</v>
      </c>
      <c r="E257">
        <v>3163</v>
      </c>
      <c r="F257" t="str">
        <f>IF(Table2_2[[#This Row],[Reviews]]&gt;$N$13,"Outlier"," Normal")</f>
        <v xml:space="preserve"> Normal</v>
      </c>
      <c r="G257">
        <v>13</v>
      </c>
      <c r="H257" t="str">
        <f>IF(Table2_2[[#This Row],[Price]]&gt;$N$20,"Outlier","Normal")</f>
        <v>Normal</v>
      </c>
      <c r="I257">
        <v>2011</v>
      </c>
      <c r="J257" t="str">
        <f>IF(Table2_2[[#This Row],[Year]]&gt;=2015,"Newer","Older")</f>
        <v>Older</v>
      </c>
      <c r="K257" s="1" t="s">
        <v>8</v>
      </c>
    </row>
    <row r="258" spans="1:11" x14ac:dyDescent="0.35">
      <c r="A258" s="1" t="s">
        <v>322</v>
      </c>
      <c r="B258" s="1" t="s">
        <v>323</v>
      </c>
      <c r="C258">
        <v>4.5999999999999996</v>
      </c>
      <c r="D258" t="str">
        <f>IF(Table2_2[[#This Row],[User_Rating]]&lt;4.164816,"Outlier","Normal")</f>
        <v>Normal</v>
      </c>
      <c r="E258">
        <v>3163</v>
      </c>
      <c r="F258" t="str">
        <f>IF(Table2_2[[#This Row],[Reviews]]&gt;$N$13,"Outlier"," Normal")</f>
        <v xml:space="preserve"> Normal</v>
      </c>
      <c r="G258">
        <v>13</v>
      </c>
      <c r="H258" t="str">
        <f>IF(Table2_2[[#This Row],[Price]]&gt;$N$20,"Outlier","Normal")</f>
        <v>Normal</v>
      </c>
      <c r="I258">
        <v>2012</v>
      </c>
      <c r="J258" t="str">
        <f>IF(Table2_2[[#This Row],[Year]]&gt;=2015,"Newer","Older")</f>
        <v>Older</v>
      </c>
      <c r="K258" s="1" t="s">
        <v>8</v>
      </c>
    </row>
    <row r="259" spans="1:11" x14ac:dyDescent="0.35">
      <c r="A259" s="1" t="s">
        <v>324</v>
      </c>
      <c r="B259" s="1" t="s">
        <v>272</v>
      </c>
      <c r="C259">
        <v>4.5</v>
      </c>
      <c r="D259" t="str">
        <f>IF(Table2_2[[#This Row],[User_Rating]]&lt;4.164816,"Outlier","Normal")</f>
        <v>Normal</v>
      </c>
      <c r="E259">
        <v>1831</v>
      </c>
      <c r="F259" t="str">
        <f>IF(Table2_2[[#This Row],[Reviews]]&gt;$N$13,"Outlier"," Normal")</f>
        <v xml:space="preserve"> Normal</v>
      </c>
      <c r="G259">
        <v>9</v>
      </c>
      <c r="H259" t="str">
        <f>IF(Table2_2[[#This Row],[Price]]&gt;$N$20,"Outlier","Normal")</f>
        <v>Normal</v>
      </c>
      <c r="I259">
        <v>2017</v>
      </c>
      <c r="J259" t="str">
        <f>IF(Table2_2[[#This Row],[Year]]&gt;=2015,"Newer","Older")</f>
        <v>Newer</v>
      </c>
      <c r="K259" s="1" t="s">
        <v>8</v>
      </c>
    </row>
    <row r="260" spans="1:11" x14ac:dyDescent="0.35">
      <c r="A260" s="1" t="s">
        <v>325</v>
      </c>
      <c r="B260" s="1" t="s">
        <v>244</v>
      </c>
      <c r="C260">
        <v>4.3</v>
      </c>
      <c r="D260" t="str">
        <f>IF(Table2_2[[#This Row],[User_Rating]]&lt;4.164816,"Outlier","Normal")</f>
        <v>Normal</v>
      </c>
      <c r="E260">
        <v>18904</v>
      </c>
      <c r="F260" t="str">
        <f>IF(Table2_2[[#This Row],[Reviews]]&gt;$N$13,"Outlier"," Normal")</f>
        <v xml:space="preserve"> Normal</v>
      </c>
      <c r="G260">
        <v>13</v>
      </c>
      <c r="H260" t="str">
        <f>IF(Table2_2[[#This Row],[Price]]&gt;$N$20,"Outlier","Normal")</f>
        <v>Normal</v>
      </c>
      <c r="I260">
        <v>2017</v>
      </c>
      <c r="J260" t="str">
        <f>IF(Table2_2[[#This Row],[Year]]&gt;=2015,"Newer","Older")</f>
        <v>Newer</v>
      </c>
      <c r="K260" s="1" t="s">
        <v>11</v>
      </c>
    </row>
    <row r="261" spans="1:11" x14ac:dyDescent="0.35">
      <c r="A261" s="1" t="s">
        <v>326</v>
      </c>
      <c r="B261" s="1" t="s">
        <v>327</v>
      </c>
      <c r="C261">
        <v>4.5999999999999996</v>
      </c>
      <c r="D261" t="str">
        <f>IF(Table2_2[[#This Row],[User_Rating]]&lt;4.164816,"Outlier","Normal")</f>
        <v>Normal</v>
      </c>
      <c r="E261">
        <v>21930</v>
      </c>
      <c r="F261" t="str">
        <f>IF(Table2_2[[#This Row],[Reviews]]&gt;$N$13,"Outlier"," Normal")</f>
        <v xml:space="preserve"> Normal</v>
      </c>
      <c r="G261">
        <v>11</v>
      </c>
      <c r="H261" t="str">
        <f>IF(Table2_2[[#This Row],[Price]]&gt;$N$20,"Outlier","Normal")</f>
        <v>Normal</v>
      </c>
      <c r="I261">
        <v>2014</v>
      </c>
      <c r="J261" t="str">
        <f>IF(Table2_2[[#This Row],[Year]]&gt;=2015,"Newer","Older")</f>
        <v>Older</v>
      </c>
      <c r="K261" s="1" t="s">
        <v>11</v>
      </c>
    </row>
    <row r="262" spans="1:11" x14ac:dyDescent="0.35">
      <c r="A262" s="1" t="s">
        <v>328</v>
      </c>
      <c r="B262" s="1" t="s">
        <v>102</v>
      </c>
      <c r="C262">
        <v>4.5999999999999996</v>
      </c>
      <c r="D262" t="str">
        <f>IF(Table2_2[[#This Row],[User_Rating]]&lt;4.164816,"Outlier","Normal")</f>
        <v>Normal</v>
      </c>
      <c r="E262">
        <v>10426</v>
      </c>
      <c r="F262" t="str">
        <f>IF(Table2_2[[#This Row],[Reviews]]&gt;$N$13,"Outlier"," Normal")</f>
        <v xml:space="preserve"> Normal</v>
      </c>
      <c r="G262">
        <v>20</v>
      </c>
      <c r="H262" t="str">
        <f>IF(Table2_2[[#This Row],[Price]]&gt;$N$20,"Outlier","Normal")</f>
        <v>Normal</v>
      </c>
      <c r="I262">
        <v>2009</v>
      </c>
      <c r="J262" t="str">
        <f>IF(Table2_2[[#This Row],[Year]]&gt;=2015,"Newer","Older")</f>
        <v>Older</v>
      </c>
      <c r="K262" s="1" t="s">
        <v>8</v>
      </c>
    </row>
    <row r="263" spans="1:11" x14ac:dyDescent="0.35">
      <c r="A263" s="1" t="s">
        <v>328</v>
      </c>
      <c r="B263" s="1" t="s">
        <v>102</v>
      </c>
      <c r="C263">
        <v>4.5999999999999996</v>
      </c>
      <c r="D263" t="str">
        <f>IF(Table2_2[[#This Row],[User_Rating]]&lt;4.164816,"Outlier","Normal")</f>
        <v>Normal</v>
      </c>
      <c r="E263">
        <v>10426</v>
      </c>
      <c r="F263" t="str">
        <f>IF(Table2_2[[#This Row],[Reviews]]&gt;$N$13,"Outlier"," Normal")</f>
        <v xml:space="preserve"> Normal</v>
      </c>
      <c r="G263">
        <v>20</v>
      </c>
      <c r="H263" t="str">
        <f>IF(Table2_2[[#This Row],[Price]]&gt;$N$20,"Outlier","Normal")</f>
        <v>Normal</v>
      </c>
      <c r="I263">
        <v>2010</v>
      </c>
      <c r="J263" t="str">
        <f>IF(Table2_2[[#This Row],[Year]]&gt;=2015,"Newer","Older")</f>
        <v>Older</v>
      </c>
      <c r="K263" s="1" t="s">
        <v>8</v>
      </c>
    </row>
    <row r="264" spans="1:11" x14ac:dyDescent="0.35">
      <c r="A264" s="1" t="s">
        <v>329</v>
      </c>
      <c r="B264" s="1" t="s">
        <v>330</v>
      </c>
      <c r="C264">
        <v>4.7</v>
      </c>
      <c r="D264" t="str">
        <f>IF(Table2_2[[#This Row],[User_Rating]]&lt;4.164816,"Outlier","Normal")</f>
        <v>Normal</v>
      </c>
      <c r="E264">
        <v>10820</v>
      </c>
      <c r="F264" t="str">
        <f>IF(Table2_2[[#This Row],[Reviews]]&gt;$N$13,"Outlier"," Normal")</f>
        <v xml:space="preserve"> Normal</v>
      </c>
      <c r="G264">
        <v>5</v>
      </c>
      <c r="H264" t="str">
        <f>IF(Table2_2[[#This Row],[Price]]&gt;$N$20,"Outlier","Normal")</f>
        <v>Normal</v>
      </c>
      <c r="I264">
        <v>2018</v>
      </c>
      <c r="J264" t="str">
        <f>IF(Table2_2[[#This Row],[Year]]&gt;=2015,"Newer","Older")</f>
        <v>Newer</v>
      </c>
      <c r="K264" s="1" t="s">
        <v>8</v>
      </c>
    </row>
    <row r="265" spans="1:11" x14ac:dyDescent="0.35">
      <c r="A265" s="1" t="s">
        <v>329</v>
      </c>
      <c r="B265" s="1" t="s">
        <v>330</v>
      </c>
      <c r="C265">
        <v>4.7</v>
      </c>
      <c r="D265" t="str">
        <f>IF(Table2_2[[#This Row],[User_Rating]]&lt;4.164816,"Outlier","Normal")</f>
        <v>Normal</v>
      </c>
      <c r="E265">
        <v>10820</v>
      </c>
      <c r="F265" t="str">
        <f>IF(Table2_2[[#This Row],[Reviews]]&gt;$N$13,"Outlier"," Normal")</f>
        <v xml:space="preserve"> Normal</v>
      </c>
      <c r="G265">
        <v>5</v>
      </c>
      <c r="H265" t="str">
        <f>IF(Table2_2[[#This Row],[Price]]&gt;$N$20,"Outlier","Normal")</f>
        <v>Normal</v>
      </c>
      <c r="I265">
        <v>2019</v>
      </c>
      <c r="J265" t="str">
        <f>IF(Table2_2[[#This Row],[Year]]&gt;=2015,"Newer","Older")</f>
        <v>Newer</v>
      </c>
      <c r="K265" s="1" t="s">
        <v>8</v>
      </c>
    </row>
    <row r="266" spans="1:11" x14ac:dyDescent="0.35">
      <c r="A266" s="1" t="s">
        <v>331</v>
      </c>
      <c r="B266" s="1" t="s">
        <v>332</v>
      </c>
      <c r="C266">
        <v>4.8</v>
      </c>
      <c r="D266" t="str">
        <f>IF(Table2_2[[#This Row],[User_Rating]]&lt;4.164816,"Outlier","Normal")</f>
        <v>Normal</v>
      </c>
      <c r="E266">
        <v>548</v>
      </c>
      <c r="F266" t="str">
        <f>IF(Table2_2[[#This Row],[Reviews]]&gt;$N$13,"Outlier"," Normal")</f>
        <v xml:space="preserve"> Normal</v>
      </c>
      <c r="G266">
        <v>2</v>
      </c>
      <c r="H266" t="str">
        <f>IF(Table2_2[[#This Row],[Price]]&gt;$N$20,"Outlier","Normal")</f>
        <v>Normal</v>
      </c>
      <c r="I266">
        <v>2010</v>
      </c>
      <c r="J266" t="str">
        <f>IF(Table2_2[[#This Row],[Year]]&gt;=2015,"Newer","Older")</f>
        <v>Older</v>
      </c>
      <c r="K266" s="1" t="s">
        <v>11</v>
      </c>
    </row>
    <row r="267" spans="1:11" x14ac:dyDescent="0.35">
      <c r="A267" s="1" t="s">
        <v>333</v>
      </c>
      <c r="B267" s="1" t="s">
        <v>334</v>
      </c>
      <c r="C267">
        <v>4.8</v>
      </c>
      <c r="D267" t="str">
        <f>IF(Table2_2[[#This Row],[User_Rating]]&lt;4.164816,"Outlier","Normal")</f>
        <v>Normal</v>
      </c>
      <c r="E267">
        <v>16990</v>
      </c>
      <c r="F267" t="str">
        <f>IF(Table2_2[[#This Row],[Reviews]]&gt;$N$13,"Outlier"," Normal")</f>
        <v xml:space="preserve"> Normal</v>
      </c>
      <c r="G267">
        <v>27</v>
      </c>
      <c r="H267" t="str">
        <f>IF(Table2_2[[#This Row],[Price]]&gt;$N$20,"Outlier","Normal")</f>
        <v>Normal</v>
      </c>
      <c r="I267">
        <v>2017</v>
      </c>
      <c r="J267" t="str">
        <f>IF(Table2_2[[#This Row],[Year]]&gt;=2015,"Newer","Older")</f>
        <v>Newer</v>
      </c>
      <c r="K267" s="1" t="s">
        <v>11</v>
      </c>
    </row>
    <row r="268" spans="1:11" x14ac:dyDescent="0.35">
      <c r="A268" s="1" t="s">
        <v>333</v>
      </c>
      <c r="B268" s="1" t="s">
        <v>334</v>
      </c>
      <c r="C268">
        <v>4.8</v>
      </c>
      <c r="D268" t="str">
        <f>IF(Table2_2[[#This Row],[User_Rating]]&lt;4.164816,"Outlier","Normal")</f>
        <v>Normal</v>
      </c>
      <c r="E268">
        <v>16990</v>
      </c>
      <c r="F268" t="str">
        <f>IF(Table2_2[[#This Row],[Reviews]]&gt;$N$13,"Outlier"," Normal")</f>
        <v xml:space="preserve"> Normal</v>
      </c>
      <c r="G268">
        <v>27</v>
      </c>
      <c r="H268" t="str">
        <f>IF(Table2_2[[#This Row],[Price]]&gt;$N$20,"Outlier","Normal")</f>
        <v>Normal</v>
      </c>
      <c r="I268">
        <v>2018</v>
      </c>
      <c r="J268" t="str">
        <f>IF(Table2_2[[#This Row],[Year]]&gt;=2015,"Newer","Older")</f>
        <v>Newer</v>
      </c>
      <c r="K268" s="1" t="s">
        <v>11</v>
      </c>
    </row>
    <row r="269" spans="1:11" x14ac:dyDescent="0.35">
      <c r="A269" s="1" t="s">
        <v>333</v>
      </c>
      <c r="B269" s="1" t="s">
        <v>334</v>
      </c>
      <c r="C269">
        <v>4.8</v>
      </c>
      <c r="D269" t="str">
        <f>IF(Table2_2[[#This Row],[User_Rating]]&lt;4.164816,"Outlier","Normal")</f>
        <v>Normal</v>
      </c>
      <c r="E269">
        <v>16990</v>
      </c>
      <c r="F269" t="str">
        <f>IF(Table2_2[[#This Row],[Reviews]]&gt;$N$13,"Outlier"," Normal")</f>
        <v xml:space="preserve"> Normal</v>
      </c>
      <c r="G269">
        <v>27</v>
      </c>
      <c r="H269" t="str">
        <f>IF(Table2_2[[#This Row],[Price]]&gt;$N$20,"Outlier","Normal")</f>
        <v>Normal</v>
      </c>
      <c r="I269">
        <v>2019</v>
      </c>
      <c r="J269" t="str">
        <f>IF(Table2_2[[#This Row],[Year]]&gt;=2015,"Newer","Older")</f>
        <v>Newer</v>
      </c>
      <c r="K269" s="1" t="s">
        <v>11</v>
      </c>
    </row>
    <row r="270" spans="1:11" x14ac:dyDescent="0.35">
      <c r="A270" s="1" t="s">
        <v>335</v>
      </c>
      <c r="B270" s="1" t="s">
        <v>214</v>
      </c>
      <c r="C270">
        <v>4.7</v>
      </c>
      <c r="D270" t="str">
        <f>IF(Table2_2[[#This Row],[User_Rating]]&lt;4.164816,"Outlier","Normal")</f>
        <v>Normal</v>
      </c>
      <c r="E270">
        <v>3503</v>
      </c>
      <c r="F270" t="str">
        <f>IF(Table2_2[[#This Row],[Reviews]]&gt;$N$13,"Outlier"," Normal")</f>
        <v xml:space="preserve"> Normal</v>
      </c>
      <c r="G270">
        <v>9</v>
      </c>
      <c r="H270" t="str">
        <f>IF(Table2_2[[#This Row],[Price]]&gt;$N$20,"Outlier","Normal")</f>
        <v>Normal</v>
      </c>
      <c r="I270">
        <v>2016</v>
      </c>
      <c r="J270" t="str">
        <f>IF(Table2_2[[#This Row],[Year]]&gt;=2015,"Newer","Older")</f>
        <v>Newer</v>
      </c>
      <c r="K270" s="1" t="s">
        <v>11</v>
      </c>
    </row>
    <row r="271" spans="1:11" x14ac:dyDescent="0.35">
      <c r="A271" s="1" t="s">
        <v>336</v>
      </c>
      <c r="B271" s="1" t="s">
        <v>337</v>
      </c>
      <c r="C271">
        <v>4.3</v>
      </c>
      <c r="D271" t="str">
        <f>IF(Table2_2[[#This Row],[User_Rating]]&lt;4.164816,"Outlier","Normal")</f>
        <v>Normal</v>
      </c>
      <c r="E271">
        <v>13616</v>
      </c>
      <c r="F271" t="str">
        <f>IF(Table2_2[[#This Row],[Reviews]]&gt;$N$13,"Outlier"," Normal")</f>
        <v xml:space="preserve"> Normal</v>
      </c>
      <c r="G271">
        <v>10</v>
      </c>
      <c r="H271" t="str">
        <f>IF(Table2_2[[#This Row],[Price]]&gt;$N$20,"Outlier","Normal")</f>
        <v>Normal</v>
      </c>
      <c r="I271">
        <v>2012</v>
      </c>
      <c r="J271" t="str">
        <f>IF(Table2_2[[#This Row],[Year]]&gt;=2015,"Newer","Older")</f>
        <v>Older</v>
      </c>
      <c r="K271" s="1" t="s">
        <v>8</v>
      </c>
    </row>
    <row r="272" spans="1:11" x14ac:dyDescent="0.35">
      <c r="A272" s="1" t="s">
        <v>336</v>
      </c>
      <c r="B272" s="1" t="s">
        <v>337</v>
      </c>
      <c r="C272">
        <v>4.3</v>
      </c>
      <c r="D272" t="str">
        <f>IF(Table2_2[[#This Row],[User_Rating]]&lt;4.164816,"Outlier","Normal")</f>
        <v>Normal</v>
      </c>
      <c r="E272">
        <v>13616</v>
      </c>
      <c r="F272" t="str">
        <f>IF(Table2_2[[#This Row],[Reviews]]&gt;$N$13,"Outlier"," Normal")</f>
        <v xml:space="preserve"> Normal</v>
      </c>
      <c r="G272">
        <v>10</v>
      </c>
      <c r="H272" t="str">
        <f>IF(Table2_2[[#This Row],[Price]]&gt;$N$20,"Outlier","Normal")</f>
        <v>Normal</v>
      </c>
      <c r="I272">
        <v>2013</v>
      </c>
      <c r="J272" t="str">
        <f>IF(Table2_2[[#This Row],[Year]]&gt;=2015,"Newer","Older")</f>
        <v>Older</v>
      </c>
      <c r="K272" s="1" t="s">
        <v>8</v>
      </c>
    </row>
    <row r="273" spans="1:11" x14ac:dyDescent="0.35">
      <c r="A273" s="1" t="s">
        <v>338</v>
      </c>
      <c r="B273" s="1" t="s">
        <v>339</v>
      </c>
      <c r="C273">
        <v>4.5</v>
      </c>
      <c r="D273" t="str">
        <f>IF(Table2_2[[#This Row],[User_Rating]]&lt;4.164816,"Outlier","Normal")</f>
        <v>Normal</v>
      </c>
      <c r="E273">
        <v>8580</v>
      </c>
      <c r="F273" t="str">
        <f>IF(Table2_2[[#This Row],[Reviews]]&gt;$N$13,"Outlier"," Normal")</f>
        <v xml:space="preserve"> Normal</v>
      </c>
      <c r="G273">
        <v>46</v>
      </c>
      <c r="H273" t="str">
        <f>IF(Table2_2[[#This Row],[Price]]&gt;$N$20,"Outlier","Normal")</f>
        <v>Outlier</v>
      </c>
      <c r="I273">
        <v>2009</v>
      </c>
      <c r="J273" t="str">
        <f>IF(Table2_2[[#This Row],[Year]]&gt;=2015,"Newer","Older")</f>
        <v>Older</v>
      </c>
      <c r="K273" s="1" t="s">
        <v>8</v>
      </c>
    </row>
    <row r="274" spans="1:11" x14ac:dyDescent="0.35">
      <c r="A274" s="1" t="s">
        <v>338</v>
      </c>
      <c r="B274" s="1" t="s">
        <v>339</v>
      </c>
      <c r="C274">
        <v>4.5</v>
      </c>
      <c r="D274" t="str">
        <f>IF(Table2_2[[#This Row],[User_Rating]]&lt;4.164816,"Outlier","Normal")</f>
        <v>Normal</v>
      </c>
      <c r="E274">
        <v>8580</v>
      </c>
      <c r="F274" t="str">
        <f>IF(Table2_2[[#This Row],[Reviews]]&gt;$N$13,"Outlier"," Normal")</f>
        <v xml:space="preserve"> Normal</v>
      </c>
      <c r="G274">
        <v>46</v>
      </c>
      <c r="H274" t="str">
        <f>IF(Table2_2[[#This Row],[Price]]&gt;$N$20,"Outlier","Normal")</f>
        <v>Outlier</v>
      </c>
      <c r="I274">
        <v>2010</v>
      </c>
      <c r="J274" t="str">
        <f>IF(Table2_2[[#This Row],[Year]]&gt;=2015,"Newer","Older")</f>
        <v>Older</v>
      </c>
      <c r="K274" s="1" t="s">
        <v>8</v>
      </c>
    </row>
    <row r="275" spans="1:11" x14ac:dyDescent="0.35">
      <c r="A275" s="1" t="s">
        <v>338</v>
      </c>
      <c r="B275" s="1" t="s">
        <v>339</v>
      </c>
      <c r="C275">
        <v>4.5</v>
      </c>
      <c r="D275" t="str">
        <f>IF(Table2_2[[#This Row],[User_Rating]]&lt;4.164816,"Outlier","Normal")</f>
        <v>Normal</v>
      </c>
      <c r="E275">
        <v>8580</v>
      </c>
      <c r="F275" t="str">
        <f>IF(Table2_2[[#This Row],[Reviews]]&gt;$N$13,"Outlier"," Normal")</f>
        <v xml:space="preserve"> Normal</v>
      </c>
      <c r="G275">
        <v>46</v>
      </c>
      <c r="H275" t="str">
        <f>IF(Table2_2[[#This Row],[Price]]&gt;$N$20,"Outlier","Normal")</f>
        <v>Outlier</v>
      </c>
      <c r="I275">
        <v>2011</v>
      </c>
      <c r="J275" t="str">
        <f>IF(Table2_2[[#This Row],[Year]]&gt;=2015,"Newer","Older")</f>
        <v>Older</v>
      </c>
      <c r="K275" s="1" t="s">
        <v>8</v>
      </c>
    </row>
    <row r="276" spans="1:11" x14ac:dyDescent="0.35">
      <c r="A276" s="1" t="s">
        <v>338</v>
      </c>
      <c r="B276" s="1" t="s">
        <v>339</v>
      </c>
      <c r="C276">
        <v>4.5</v>
      </c>
      <c r="D276" t="str">
        <f>IF(Table2_2[[#This Row],[User_Rating]]&lt;4.164816,"Outlier","Normal")</f>
        <v>Normal</v>
      </c>
      <c r="E276">
        <v>8580</v>
      </c>
      <c r="F276" t="str">
        <f>IF(Table2_2[[#This Row],[Reviews]]&gt;$N$13,"Outlier"," Normal")</f>
        <v xml:space="preserve"> Normal</v>
      </c>
      <c r="G276">
        <v>46</v>
      </c>
      <c r="H276" t="str">
        <f>IF(Table2_2[[#This Row],[Price]]&gt;$N$20,"Outlier","Normal")</f>
        <v>Outlier</v>
      </c>
      <c r="I276">
        <v>2012</v>
      </c>
      <c r="J276" t="str">
        <f>IF(Table2_2[[#This Row],[Year]]&gt;=2015,"Newer","Older")</f>
        <v>Older</v>
      </c>
      <c r="K276" s="1" t="s">
        <v>8</v>
      </c>
    </row>
    <row r="277" spans="1:11" x14ac:dyDescent="0.35">
      <c r="A277" s="1" t="s">
        <v>338</v>
      </c>
      <c r="B277" s="1" t="s">
        <v>339</v>
      </c>
      <c r="C277">
        <v>4.5</v>
      </c>
      <c r="D277" t="str">
        <f>IF(Table2_2[[#This Row],[User_Rating]]&lt;4.164816,"Outlier","Normal")</f>
        <v>Normal</v>
      </c>
      <c r="E277">
        <v>8580</v>
      </c>
      <c r="F277" t="str">
        <f>IF(Table2_2[[#This Row],[Reviews]]&gt;$N$13,"Outlier"," Normal")</f>
        <v xml:space="preserve"> Normal</v>
      </c>
      <c r="G277">
        <v>46</v>
      </c>
      <c r="H277" t="str">
        <f>IF(Table2_2[[#This Row],[Price]]&gt;$N$20,"Outlier","Normal")</f>
        <v>Outlier</v>
      </c>
      <c r="I277">
        <v>2013</v>
      </c>
      <c r="J277" t="str">
        <f>IF(Table2_2[[#This Row],[Year]]&gt;=2015,"Newer","Older")</f>
        <v>Older</v>
      </c>
      <c r="K277" s="1" t="s">
        <v>8</v>
      </c>
    </row>
    <row r="278" spans="1:11" x14ac:dyDescent="0.35">
      <c r="A278" s="1" t="s">
        <v>338</v>
      </c>
      <c r="B278" s="1" t="s">
        <v>339</v>
      </c>
      <c r="C278">
        <v>4.5</v>
      </c>
      <c r="D278" t="str">
        <f>IF(Table2_2[[#This Row],[User_Rating]]&lt;4.164816,"Outlier","Normal")</f>
        <v>Normal</v>
      </c>
      <c r="E278">
        <v>8580</v>
      </c>
      <c r="F278" t="str">
        <f>IF(Table2_2[[#This Row],[Reviews]]&gt;$N$13,"Outlier"," Normal")</f>
        <v xml:space="preserve"> Normal</v>
      </c>
      <c r="G278">
        <v>46</v>
      </c>
      <c r="H278" t="str">
        <f>IF(Table2_2[[#This Row],[Price]]&gt;$N$20,"Outlier","Normal")</f>
        <v>Outlier</v>
      </c>
      <c r="I278">
        <v>2014</v>
      </c>
      <c r="J278" t="str">
        <f>IF(Table2_2[[#This Row],[Year]]&gt;=2015,"Newer","Older")</f>
        <v>Older</v>
      </c>
      <c r="K278" s="1" t="s">
        <v>8</v>
      </c>
    </row>
    <row r="279" spans="1:11" x14ac:dyDescent="0.35">
      <c r="A279" s="1" t="s">
        <v>338</v>
      </c>
      <c r="B279" s="1" t="s">
        <v>339</v>
      </c>
      <c r="C279">
        <v>4.5</v>
      </c>
      <c r="D279" t="str">
        <f>IF(Table2_2[[#This Row],[User_Rating]]&lt;4.164816,"Outlier","Normal")</f>
        <v>Normal</v>
      </c>
      <c r="E279">
        <v>8580</v>
      </c>
      <c r="F279" t="str">
        <f>IF(Table2_2[[#This Row],[Reviews]]&gt;$N$13,"Outlier"," Normal")</f>
        <v xml:space="preserve"> Normal</v>
      </c>
      <c r="G279">
        <v>46</v>
      </c>
      <c r="H279" t="str">
        <f>IF(Table2_2[[#This Row],[Price]]&gt;$N$20,"Outlier","Normal")</f>
        <v>Outlier</v>
      </c>
      <c r="I279">
        <v>2015</v>
      </c>
      <c r="J279" t="str">
        <f>IF(Table2_2[[#This Row],[Year]]&gt;=2015,"Newer","Older")</f>
        <v>Newer</v>
      </c>
      <c r="K279" s="1" t="s">
        <v>8</v>
      </c>
    </row>
    <row r="280" spans="1:11" x14ac:dyDescent="0.35">
      <c r="A280" s="1" t="s">
        <v>338</v>
      </c>
      <c r="B280" s="1" t="s">
        <v>339</v>
      </c>
      <c r="C280">
        <v>4.5</v>
      </c>
      <c r="D280" t="str">
        <f>IF(Table2_2[[#This Row],[User_Rating]]&lt;4.164816,"Outlier","Normal")</f>
        <v>Normal</v>
      </c>
      <c r="E280">
        <v>8580</v>
      </c>
      <c r="F280" t="str">
        <f>IF(Table2_2[[#This Row],[Reviews]]&gt;$N$13,"Outlier"," Normal")</f>
        <v xml:space="preserve"> Normal</v>
      </c>
      <c r="G280">
        <v>46</v>
      </c>
      <c r="H280" t="str">
        <f>IF(Table2_2[[#This Row],[Price]]&gt;$N$20,"Outlier","Normal")</f>
        <v>Outlier</v>
      </c>
      <c r="I280">
        <v>2016</v>
      </c>
      <c r="J280" t="str">
        <f>IF(Table2_2[[#This Row],[Year]]&gt;=2015,"Newer","Older")</f>
        <v>Newer</v>
      </c>
      <c r="K280" s="1" t="s">
        <v>8</v>
      </c>
    </row>
    <row r="281" spans="1:11" x14ac:dyDescent="0.35">
      <c r="A281" s="1" t="s">
        <v>338</v>
      </c>
      <c r="B281" s="1" t="s">
        <v>339</v>
      </c>
      <c r="C281">
        <v>4.5</v>
      </c>
      <c r="D281" t="str">
        <f>IF(Table2_2[[#This Row],[User_Rating]]&lt;4.164816,"Outlier","Normal")</f>
        <v>Normal</v>
      </c>
      <c r="E281">
        <v>8580</v>
      </c>
      <c r="F281" t="str">
        <f>IF(Table2_2[[#This Row],[Reviews]]&gt;$N$13,"Outlier"," Normal")</f>
        <v xml:space="preserve"> Normal</v>
      </c>
      <c r="G281">
        <v>46</v>
      </c>
      <c r="H281" t="str">
        <f>IF(Table2_2[[#This Row],[Price]]&gt;$N$20,"Outlier","Normal")</f>
        <v>Outlier</v>
      </c>
      <c r="I281">
        <v>2017</v>
      </c>
      <c r="J281" t="str">
        <f>IF(Table2_2[[#This Row],[Year]]&gt;=2015,"Newer","Older")</f>
        <v>Newer</v>
      </c>
      <c r="K281" s="1" t="s">
        <v>8</v>
      </c>
    </row>
    <row r="282" spans="1:11" x14ac:dyDescent="0.35">
      <c r="A282" s="1" t="s">
        <v>338</v>
      </c>
      <c r="B282" s="1" t="s">
        <v>339</v>
      </c>
      <c r="C282">
        <v>4.5</v>
      </c>
      <c r="D282" t="str">
        <f>IF(Table2_2[[#This Row],[User_Rating]]&lt;4.164816,"Outlier","Normal")</f>
        <v>Normal</v>
      </c>
      <c r="E282">
        <v>8580</v>
      </c>
      <c r="F282" t="str">
        <f>IF(Table2_2[[#This Row],[Reviews]]&gt;$N$13,"Outlier"," Normal")</f>
        <v xml:space="preserve"> Normal</v>
      </c>
      <c r="G282">
        <v>46</v>
      </c>
      <c r="H282" t="str">
        <f>IF(Table2_2[[#This Row],[Price]]&gt;$N$20,"Outlier","Normal")</f>
        <v>Outlier</v>
      </c>
      <c r="I282">
        <v>2018</v>
      </c>
      <c r="J282" t="str">
        <f>IF(Table2_2[[#This Row],[Year]]&gt;=2015,"Newer","Older")</f>
        <v>Newer</v>
      </c>
      <c r="K282" s="1" t="s">
        <v>8</v>
      </c>
    </row>
    <row r="283" spans="1:11" x14ac:dyDescent="0.35">
      <c r="A283" s="1" t="s">
        <v>340</v>
      </c>
      <c r="B283" s="1" t="s">
        <v>341</v>
      </c>
      <c r="C283">
        <v>4.8</v>
      </c>
      <c r="D283" t="str">
        <f>IF(Table2_2[[#This Row],[User_Rating]]&lt;4.164816,"Outlier","Normal")</f>
        <v>Normal</v>
      </c>
      <c r="E283">
        <v>4757</v>
      </c>
      <c r="F283" t="str">
        <f>IF(Table2_2[[#This Row],[Reviews]]&gt;$N$13,"Outlier"," Normal")</f>
        <v xml:space="preserve"> Normal</v>
      </c>
      <c r="G283">
        <v>4</v>
      </c>
      <c r="H283" t="str">
        <f>IF(Table2_2[[#This Row],[Price]]&gt;$N$20,"Outlier","Normal")</f>
        <v>Normal</v>
      </c>
      <c r="I283">
        <v>2017</v>
      </c>
      <c r="J283" t="str">
        <f>IF(Table2_2[[#This Row],[Year]]&gt;=2015,"Newer","Older")</f>
        <v>Newer</v>
      </c>
      <c r="K283" s="1" t="s">
        <v>11</v>
      </c>
    </row>
    <row r="284" spans="1:11" x14ac:dyDescent="0.35">
      <c r="A284" s="1" t="s">
        <v>342</v>
      </c>
      <c r="B284" s="1" t="s">
        <v>343</v>
      </c>
      <c r="C284">
        <v>4.5999999999999996</v>
      </c>
      <c r="D284" t="str">
        <f>IF(Table2_2[[#This Row],[User_Rating]]&lt;4.164816,"Outlier","Normal")</f>
        <v>Normal</v>
      </c>
      <c r="E284">
        <v>10009</v>
      </c>
      <c r="F284" t="str">
        <f>IF(Table2_2[[#This Row],[Reviews]]&gt;$N$13,"Outlier"," Normal")</f>
        <v xml:space="preserve"> Normal</v>
      </c>
      <c r="G284">
        <v>20</v>
      </c>
      <c r="H284" t="str">
        <f>IF(Table2_2[[#This Row],[Price]]&gt;$N$20,"Outlier","Normal")</f>
        <v>Normal</v>
      </c>
      <c r="I284">
        <v>2012</v>
      </c>
      <c r="J284" t="str">
        <f>IF(Table2_2[[#This Row],[Year]]&gt;=2015,"Newer","Older")</f>
        <v>Older</v>
      </c>
      <c r="K284" s="1" t="s">
        <v>8</v>
      </c>
    </row>
    <row r="285" spans="1:11" x14ac:dyDescent="0.35">
      <c r="A285" s="1" t="s">
        <v>342</v>
      </c>
      <c r="B285" s="1" t="s">
        <v>343</v>
      </c>
      <c r="C285">
        <v>4.5999999999999996</v>
      </c>
      <c r="D285" t="str">
        <f>IF(Table2_2[[#This Row],[User_Rating]]&lt;4.164816,"Outlier","Normal")</f>
        <v>Normal</v>
      </c>
      <c r="E285">
        <v>10009</v>
      </c>
      <c r="F285" t="str">
        <f>IF(Table2_2[[#This Row],[Reviews]]&gt;$N$13,"Outlier"," Normal")</f>
        <v xml:space="preserve"> Normal</v>
      </c>
      <c r="G285">
        <v>7</v>
      </c>
      <c r="H285" t="str">
        <f>IF(Table2_2[[#This Row],[Price]]&gt;$N$20,"Outlier","Normal")</f>
        <v>Normal</v>
      </c>
      <c r="I285">
        <v>2013</v>
      </c>
      <c r="J285" t="str">
        <f>IF(Table2_2[[#This Row],[Year]]&gt;=2015,"Newer","Older")</f>
        <v>Older</v>
      </c>
      <c r="K285" s="1" t="s">
        <v>8</v>
      </c>
    </row>
    <row r="286" spans="1:11" x14ac:dyDescent="0.35">
      <c r="A286" s="1" t="s">
        <v>344</v>
      </c>
      <c r="B286" s="1" t="s">
        <v>345</v>
      </c>
      <c r="C286">
        <v>4.7</v>
      </c>
      <c r="D286" t="str">
        <f>IF(Table2_2[[#This Row],[User_Rating]]&lt;4.164816,"Outlier","Normal")</f>
        <v>Normal</v>
      </c>
      <c r="E286">
        <v>1985</v>
      </c>
      <c r="F286" t="str">
        <f>IF(Table2_2[[#This Row],[Reviews]]&gt;$N$13,"Outlier"," Normal")</f>
        <v xml:space="preserve"> Normal</v>
      </c>
      <c r="G286">
        <v>9</v>
      </c>
      <c r="H286" t="str">
        <f>IF(Table2_2[[#This Row],[Price]]&gt;$N$20,"Outlier","Normal")</f>
        <v>Normal</v>
      </c>
      <c r="I286">
        <v>2010</v>
      </c>
      <c r="J286" t="str">
        <f>IF(Table2_2[[#This Row],[Year]]&gt;=2015,"Newer","Older")</f>
        <v>Older</v>
      </c>
      <c r="K286" s="1" t="s">
        <v>8</v>
      </c>
    </row>
    <row r="287" spans="1:11" x14ac:dyDescent="0.35">
      <c r="A287" s="1" t="s">
        <v>344</v>
      </c>
      <c r="B287" s="1" t="s">
        <v>345</v>
      </c>
      <c r="C287">
        <v>4.7</v>
      </c>
      <c r="D287" t="str">
        <f>IF(Table2_2[[#This Row],[User_Rating]]&lt;4.164816,"Outlier","Normal")</f>
        <v>Normal</v>
      </c>
      <c r="E287">
        <v>1985</v>
      </c>
      <c r="F287" t="str">
        <f>IF(Table2_2[[#This Row],[Reviews]]&gt;$N$13,"Outlier"," Normal")</f>
        <v xml:space="preserve"> Normal</v>
      </c>
      <c r="G287">
        <v>9</v>
      </c>
      <c r="H287" t="str">
        <f>IF(Table2_2[[#This Row],[Price]]&gt;$N$20,"Outlier","Normal")</f>
        <v>Normal</v>
      </c>
      <c r="I287">
        <v>2011</v>
      </c>
      <c r="J287" t="str">
        <f>IF(Table2_2[[#This Row],[Year]]&gt;=2015,"Newer","Older")</f>
        <v>Older</v>
      </c>
      <c r="K287" s="1" t="s">
        <v>8</v>
      </c>
    </row>
    <row r="288" spans="1:11" x14ac:dyDescent="0.35">
      <c r="A288" s="1" t="s">
        <v>346</v>
      </c>
      <c r="B288" s="1" t="s">
        <v>347</v>
      </c>
      <c r="C288">
        <v>4.5999999999999996</v>
      </c>
      <c r="D288" t="str">
        <f>IF(Table2_2[[#This Row],[User_Rating]]&lt;4.164816,"Outlier","Normal")</f>
        <v>Normal</v>
      </c>
      <c r="E288">
        <v>22536</v>
      </c>
      <c r="F288" t="str">
        <f>IF(Table2_2[[#This Row],[Reviews]]&gt;$N$13,"Outlier"," Normal")</f>
        <v xml:space="preserve"> Normal</v>
      </c>
      <c r="G288">
        <v>12</v>
      </c>
      <c r="H288" t="str">
        <f>IF(Table2_2[[#This Row],[Price]]&gt;$N$20,"Outlier","Normal")</f>
        <v>Normal</v>
      </c>
      <c r="I288">
        <v>2017</v>
      </c>
      <c r="J288" t="str">
        <f>IF(Table2_2[[#This Row],[Year]]&gt;=2015,"Newer","Older")</f>
        <v>Newer</v>
      </c>
      <c r="K288" s="1" t="s">
        <v>11</v>
      </c>
    </row>
    <row r="289" spans="1:11" x14ac:dyDescent="0.35">
      <c r="A289" s="1" t="s">
        <v>346</v>
      </c>
      <c r="B289" s="1" t="s">
        <v>347</v>
      </c>
      <c r="C289">
        <v>4.5999999999999996</v>
      </c>
      <c r="D289" t="str">
        <f>IF(Table2_2[[#This Row],[User_Rating]]&lt;4.164816,"Outlier","Normal")</f>
        <v>Normal</v>
      </c>
      <c r="E289">
        <v>22536</v>
      </c>
      <c r="F289" t="str">
        <f>IF(Table2_2[[#This Row],[Reviews]]&gt;$N$13,"Outlier"," Normal")</f>
        <v xml:space="preserve"> Normal</v>
      </c>
      <c r="G289">
        <v>12</v>
      </c>
      <c r="H289" t="str">
        <f>IF(Table2_2[[#This Row],[Price]]&gt;$N$20,"Outlier","Normal")</f>
        <v>Normal</v>
      </c>
      <c r="I289">
        <v>2018</v>
      </c>
      <c r="J289" t="str">
        <f>IF(Table2_2[[#This Row],[Year]]&gt;=2015,"Newer","Older")</f>
        <v>Newer</v>
      </c>
      <c r="K289" s="1" t="s">
        <v>11</v>
      </c>
    </row>
    <row r="290" spans="1:11" x14ac:dyDescent="0.35">
      <c r="A290" s="1" t="s">
        <v>348</v>
      </c>
      <c r="B290" s="1" t="s">
        <v>349</v>
      </c>
      <c r="C290">
        <v>4.9000000000000004</v>
      </c>
      <c r="D290" t="str">
        <f>IF(Table2_2[[#This Row],[User_Rating]]&lt;4.164816,"Outlier","Normal")</f>
        <v>Normal</v>
      </c>
      <c r="E290">
        <v>7150</v>
      </c>
      <c r="F290" t="str">
        <f>IF(Table2_2[[#This Row],[Reviews]]&gt;$N$13,"Outlier"," Normal")</f>
        <v xml:space="preserve"> Normal</v>
      </c>
      <c r="G290">
        <v>12</v>
      </c>
      <c r="H290" t="str">
        <f>IF(Table2_2[[#This Row],[Price]]&gt;$N$20,"Outlier","Normal")</f>
        <v>Normal</v>
      </c>
      <c r="I290">
        <v>2013</v>
      </c>
      <c r="J290" t="str">
        <f>IF(Table2_2[[#This Row],[Year]]&gt;=2015,"Newer","Older")</f>
        <v>Older</v>
      </c>
      <c r="K290" s="1" t="s">
        <v>11</v>
      </c>
    </row>
    <row r="291" spans="1:11" x14ac:dyDescent="0.35">
      <c r="A291" s="1" t="s">
        <v>350</v>
      </c>
      <c r="B291" s="1" t="s">
        <v>349</v>
      </c>
      <c r="C291">
        <v>4.9000000000000004</v>
      </c>
      <c r="D291" t="str">
        <f>IF(Table2_2[[#This Row],[User_Rating]]&lt;4.164816,"Outlier","Normal")</f>
        <v>Normal</v>
      </c>
      <c r="E291">
        <v>3836</v>
      </c>
      <c r="F291" t="str">
        <f>IF(Table2_2[[#This Row],[Reviews]]&gt;$N$13,"Outlier"," Normal")</f>
        <v xml:space="preserve"> Normal</v>
      </c>
      <c r="G291">
        <v>12</v>
      </c>
      <c r="H291" t="str">
        <f>IF(Table2_2[[#This Row],[Price]]&gt;$N$20,"Outlier","Normal")</f>
        <v>Normal</v>
      </c>
      <c r="I291">
        <v>2014</v>
      </c>
      <c r="J291" t="str">
        <f>IF(Table2_2[[#This Row],[Year]]&gt;=2015,"Newer","Older")</f>
        <v>Older</v>
      </c>
      <c r="K291" s="1" t="s">
        <v>11</v>
      </c>
    </row>
    <row r="292" spans="1:11" x14ac:dyDescent="0.35">
      <c r="A292" s="1" t="s">
        <v>351</v>
      </c>
      <c r="B292" s="1" t="s">
        <v>352</v>
      </c>
      <c r="C292">
        <v>4.8</v>
      </c>
      <c r="D292" t="str">
        <f>IF(Table2_2[[#This Row],[User_Rating]]&lt;4.164816,"Outlier","Normal")</f>
        <v>Normal</v>
      </c>
      <c r="E292">
        <v>7802</v>
      </c>
      <c r="F292" t="str">
        <f>IF(Table2_2[[#This Row],[Reviews]]&gt;$N$13,"Outlier"," Normal")</f>
        <v xml:space="preserve"> Normal</v>
      </c>
      <c r="G292">
        <v>20</v>
      </c>
      <c r="H292" t="str">
        <f>IF(Table2_2[[#This Row],[Price]]&gt;$N$20,"Outlier","Normal")</f>
        <v>Normal</v>
      </c>
      <c r="I292">
        <v>2018</v>
      </c>
      <c r="J292" t="str">
        <f>IF(Table2_2[[#This Row],[Year]]&gt;=2015,"Newer","Older")</f>
        <v>Newer</v>
      </c>
      <c r="K292" s="1" t="s">
        <v>8</v>
      </c>
    </row>
    <row r="293" spans="1:11" x14ac:dyDescent="0.35">
      <c r="A293" s="1" t="s">
        <v>351</v>
      </c>
      <c r="B293" s="1" t="s">
        <v>352</v>
      </c>
      <c r="C293">
        <v>4.8</v>
      </c>
      <c r="D293" t="str">
        <f>IF(Table2_2[[#This Row],[User_Rating]]&lt;4.164816,"Outlier","Normal")</f>
        <v>Normal</v>
      </c>
      <c r="E293">
        <v>7802</v>
      </c>
      <c r="F293" t="str">
        <f>IF(Table2_2[[#This Row],[Reviews]]&gt;$N$13,"Outlier"," Normal")</f>
        <v xml:space="preserve"> Normal</v>
      </c>
      <c r="G293">
        <v>20</v>
      </c>
      <c r="H293" t="str">
        <f>IF(Table2_2[[#This Row],[Price]]&gt;$N$20,"Outlier","Normal")</f>
        <v>Normal</v>
      </c>
      <c r="I293">
        <v>2019</v>
      </c>
      <c r="J293" t="str">
        <f>IF(Table2_2[[#This Row],[Year]]&gt;=2015,"Newer","Older")</f>
        <v>Newer</v>
      </c>
      <c r="K293" s="1" t="s">
        <v>8</v>
      </c>
    </row>
    <row r="294" spans="1:11" x14ac:dyDescent="0.35">
      <c r="A294" s="1" t="s">
        <v>353</v>
      </c>
      <c r="B294" s="1" t="s">
        <v>354</v>
      </c>
      <c r="C294">
        <v>4.5999999999999996</v>
      </c>
      <c r="D294" t="str">
        <f>IF(Table2_2[[#This Row],[User_Rating]]&lt;4.164816,"Outlier","Normal")</f>
        <v>Normal</v>
      </c>
      <c r="E294">
        <v>3619</v>
      </c>
      <c r="F294" t="str">
        <f>IF(Table2_2[[#This Row],[Reviews]]&gt;$N$13,"Outlier"," Normal")</f>
        <v xml:space="preserve"> Normal</v>
      </c>
      <c r="G294">
        <v>10</v>
      </c>
      <c r="H294" t="str">
        <f>IF(Table2_2[[#This Row],[Price]]&gt;$N$20,"Outlier","Normal")</f>
        <v>Normal</v>
      </c>
      <c r="I294">
        <v>2010</v>
      </c>
      <c r="J294" t="str">
        <f>IF(Table2_2[[#This Row],[Year]]&gt;=2015,"Newer","Older")</f>
        <v>Older</v>
      </c>
      <c r="K294" s="1" t="s">
        <v>11</v>
      </c>
    </row>
    <row r="295" spans="1:11" x14ac:dyDescent="0.35">
      <c r="A295" s="1" t="s">
        <v>355</v>
      </c>
      <c r="B295" s="1" t="s">
        <v>356</v>
      </c>
      <c r="C295">
        <v>4.8</v>
      </c>
      <c r="D295" t="str">
        <f>IF(Table2_2[[#This Row],[User_Rating]]&lt;4.164816,"Outlier","Normal")</f>
        <v>Normal</v>
      </c>
      <c r="E295">
        <v>23047</v>
      </c>
      <c r="F295" t="str">
        <f>IF(Table2_2[[#This Row],[Reviews]]&gt;$N$13,"Outlier"," Normal")</f>
        <v xml:space="preserve"> Normal</v>
      </c>
      <c r="G295">
        <v>6</v>
      </c>
      <c r="H295" t="str">
        <f>IF(Table2_2[[#This Row],[Price]]&gt;$N$20,"Outlier","Normal")</f>
        <v>Normal</v>
      </c>
      <c r="I295">
        <v>2018</v>
      </c>
      <c r="J295" t="str">
        <f>IF(Table2_2[[#This Row],[Year]]&gt;=2015,"Newer","Older")</f>
        <v>Newer</v>
      </c>
      <c r="K295" s="1" t="s">
        <v>8</v>
      </c>
    </row>
    <row r="296" spans="1:11" x14ac:dyDescent="0.35">
      <c r="A296" s="1" t="s">
        <v>355</v>
      </c>
      <c r="B296" s="1" t="s">
        <v>356</v>
      </c>
      <c r="C296">
        <v>4.8</v>
      </c>
      <c r="D296" t="str">
        <f>IF(Table2_2[[#This Row],[User_Rating]]&lt;4.164816,"Outlier","Normal")</f>
        <v>Normal</v>
      </c>
      <c r="E296">
        <v>23047</v>
      </c>
      <c r="F296" t="str">
        <f>IF(Table2_2[[#This Row],[Reviews]]&gt;$N$13,"Outlier"," Normal")</f>
        <v xml:space="preserve"> Normal</v>
      </c>
      <c r="G296">
        <v>6</v>
      </c>
      <c r="H296" t="str">
        <f>IF(Table2_2[[#This Row],[Price]]&gt;$N$20,"Outlier","Normal")</f>
        <v>Normal</v>
      </c>
      <c r="I296">
        <v>2019</v>
      </c>
      <c r="J296" t="str">
        <f>IF(Table2_2[[#This Row],[Year]]&gt;=2015,"Newer","Older")</f>
        <v>Newer</v>
      </c>
      <c r="K296" s="1" t="s">
        <v>8</v>
      </c>
    </row>
    <row r="297" spans="1:11" x14ac:dyDescent="0.35">
      <c r="A297" s="1" t="s">
        <v>357</v>
      </c>
      <c r="B297" s="1" t="s">
        <v>148</v>
      </c>
      <c r="C297">
        <v>4.7</v>
      </c>
      <c r="D297" t="str">
        <f>IF(Table2_2[[#This Row],[User_Rating]]&lt;4.164816,"Outlier","Normal")</f>
        <v>Normal</v>
      </c>
      <c r="E297">
        <v>9366</v>
      </c>
      <c r="F297" t="str">
        <f>IF(Table2_2[[#This Row],[Reviews]]&gt;$N$13,"Outlier"," Normal")</f>
        <v xml:space="preserve"> Normal</v>
      </c>
      <c r="G297">
        <v>9</v>
      </c>
      <c r="H297" t="str">
        <f>IF(Table2_2[[#This Row],[Price]]&gt;$N$20,"Outlier","Normal")</f>
        <v>Normal</v>
      </c>
      <c r="I297">
        <v>2015</v>
      </c>
      <c r="J297" t="str">
        <f>IF(Table2_2[[#This Row],[Year]]&gt;=2015,"Newer","Older")</f>
        <v>Newer</v>
      </c>
      <c r="K297" s="1" t="s">
        <v>8</v>
      </c>
    </row>
    <row r="298" spans="1:11" x14ac:dyDescent="0.35">
      <c r="A298" s="1" t="s">
        <v>358</v>
      </c>
      <c r="B298" s="1" t="s">
        <v>359</v>
      </c>
      <c r="C298">
        <v>4.7</v>
      </c>
      <c r="D298" t="str">
        <f>IF(Table2_2[[#This Row],[User_Rating]]&lt;4.164816,"Outlier","Normal")</f>
        <v>Normal</v>
      </c>
      <c r="E298">
        <v>1265</v>
      </c>
      <c r="F298" t="str">
        <f>IF(Table2_2[[#This Row],[Reviews]]&gt;$N$13,"Outlier"," Normal")</f>
        <v xml:space="preserve"> Normal</v>
      </c>
      <c r="G298">
        <v>11</v>
      </c>
      <c r="H298" t="str">
        <f>IF(Table2_2[[#This Row],[Price]]&gt;$N$20,"Outlier","Normal")</f>
        <v>Normal</v>
      </c>
      <c r="I298">
        <v>2010</v>
      </c>
      <c r="J298" t="str">
        <f>IF(Table2_2[[#This Row],[Year]]&gt;=2015,"Newer","Older")</f>
        <v>Older</v>
      </c>
      <c r="K298" s="1" t="s">
        <v>8</v>
      </c>
    </row>
    <row r="299" spans="1:11" x14ac:dyDescent="0.35">
      <c r="A299" s="1" t="s">
        <v>360</v>
      </c>
      <c r="B299" s="1" t="s">
        <v>361</v>
      </c>
      <c r="C299">
        <v>4.8</v>
      </c>
      <c r="D299" t="str">
        <f>IF(Table2_2[[#This Row],[User_Rating]]&lt;4.164816,"Outlier","Normal")</f>
        <v>Normal</v>
      </c>
      <c r="E299">
        <v>3923</v>
      </c>
      <c r="F299" t="str">
        <f>IF(Table2_2[[#This Row],[Reviews]]&gt;$N$13,"Outlier"," Normal")</f>
        <v xml:space="preserve"> Normal</v>
      </c>
      <c r="G299">
        <v>16</v>
      </c>
      <c r="H299" t="str">
        <f>IF(Table2_2[[#This Row],[Price]]&gt;$N$20,"Outlier","Normal")</f>
        <v>Normal</v>
      </c>
      <c r="I299">
        <v>2018</v>
      </c>
      <c r="J299" t="str">
        <f>IF(Table2_2[[#This Row],[Year]]&gt;=2015,"Newer","Older")</f>
        <v>Newer</v>
      </c>
      <c r="K299" s="1" t="s">
        <v>8</v>
      </c>
    </row>
    <row r="300" spans="1:11" x14ac:dyDescent="0.35">
      <c r="A300" s="1" t="s">
        <v>362</v>
      </c>
      <c r="B300" s="1" t="s">
        <v>363</v>
      </c>
      <c r="C300">
        <v>4.0999999999999996</v>
      </c>
      <c r="D300" t="str">
        <f>IF(Table2_2[[#This Row],[User_Rating]]&lt;4.164816,"Outlier","Normal")</f>
        <v>Outlier</v>
      </c>
      <c r="E300">
        <v>2272</v>
      </c>
      <c r="F300" t="str">
        <f>IF(Table2_2[[#This Row],[Reviews]]&gt;$N$13,"Outlier"," Normal")</f>
        <v xml:space="preserve"> Normal</v>
      </c>
      <c r="G300">
        <v>6</v>
      </c>
      <c r="H300" t="str">
        <f>IF(Table2_2[[#This Row],[Price]]&gt;$N$20,"Outlier","Normal")</f>
        <v>Normal</v>
      </c>
      <c r="I300">
        <v>2013</v>
      </c>
      <c r="J300" t="str">
        <f>IF(Table2_2[[#This Row],[Year]]&gt;=2015,"Newer","Older")</f>
        <v>Older</v>
      </c>
      <c r="K300" s="1" t="s">
        <v>8</v>
      </c>
    </row>
    <row r="301" spans="1:11" x14ac:dyDescent="0.35">
      <c r="A301" s="1" t="s">
        <v>364</v>
      </c>
      <c r="B301" s="1" t="s">
        <v>104</v>
      </c>
      <c r="C301">
        <v>4.7</v>
      </c>
      <c r="D301" t="str">
        <f>IF(Table2_2[[#This Row],[User_Rating]]&lt;4.164816,"Outlier","Normal")</f>
        <v>Normal</v>
      </c>
      <c r="E301">
        <v>973</v>
      </c>
      <c r="F301" t="str">
        <f>IF(Table2_2[[#This Row],[Reviews]]&gt;$N$13,"Outlier"," Normal")</f>
        <v xml:space="preserve"> Normal</v>
      </c>
      <c r="G301">
        <v>25</v>
      </c>
      <c r="H301" t="str">
        <f>IF(Table2_2[[#This Row],[Price]]&gt;$N$20,"Outlier","Normal")</f>
        <v>Normal</v>
      </c>
      <c r="I301">
        <v>2009</v>
      </c>
      <c r="J301" t="str">
        <f>IF(Table2_2[[#This Row],[Year]]&gt;=2015,"Newer","Older")</f>
        <v>Older</v>
      </c>
      <c r="K301" s="1" t="s">
        <v>11</v>
      </c>
    </row>
    <row r="302" spans="1:11" x14ac:dyDescent="0.35">
      <c r="A302" s="1" t="s">
        <v>365</v>
      </c>
      <c r="B302" s="1" t="s">
        <v>123</v>
      </c>
      <c r="C302">
        <v>4.5999999999999996</v>
      </c>
      <c r="D302" t="str">
        <f>IF(Table2_2[[#This Row],[User_Rating]]&lt;4.164816,"Outlier","Normal")</f>
        <v>Normal</v>
      </c>
      <c r="E302">
        <v>220</v>
      </c>
      <c r="F302" t="str">
        <f>IF(Table2_2[[#This Row],[Reviews]]&gt;$N$13,"Outlier"," Normal")</f>
        <v xml:space="preserve"> Normal</v>
      </c>
      <c r="G302">
        <v>17</v>
      </c>
      <c r="H302" t="str">
        <f>IF(Table2_2[[#This Row],[Price]]&gt;$N$20,"Outlier","Normal")</f>
        <v>Normal</v>
      </c>
      <c r="I302">
        <v>2013</v>
      </c>
      <c r="J302" t="str">
        <f>IF(Table2_2[[#This Row],[Year]]&gt;=2015,"Newer","Older")</f>
        <v>Older</v>
      </c>
      <c r="K302" s="1" t="s">
        <v>8</v>
      </c>
    </row>
    <row r="303" spans="1:11" x14ac:dyDescent="0.35">
      <c r="A303" s="1" t="s">
        <v>366</v>
      </c>
      <c r="B303" s="1" t="s">
        <v>274</v>
      </c>
      <c r="C303">
        <v>4.5999999999999996</v>
      </c>
      <c r="D303" t="str">
        <f>IF(Table2_2[[#This Row],[User_Rating]]&lt;4.164816,"Outlier","Normal")</f>
        <v>Normal</v>
      </c>
      <c r="E303">
        <v>7827</v>
      </c>
      <c r="F303" t="str">
        <f>IF(Table2_2[[#This Row],[Reviews]]&gt;$N$13,"Outlier"," Normal")</f>
        <v xml:space="preserve"> Normal</v>
      </c>
      <c r="G303">
        <v>20</v>
      </c>
      <c r="H303" t="str">
        <f>IF(Table2_2[[#This Row],[Price]]&gt;$N$20,"Outlier","Normal")</f>
        <v>Normal</v>
      </c>
      <c r="I303">
        <v>2011</v>
      </c>
      <c r="J303" t="str">
        <f>IF(Table2_2[[#This Row],[Year]]&gt;=2015,"Newer","Older")</f>
        <v>Older</v>
      </c>
      <c r="K303" s="1" t="s">
        <v>8</v>
      </c>
    </row>
    <row r="304" spans="1:11" x14ac:dyDescent="0.35">
      <c r="A304" s="1" t="s">
        <v>366</v>
      </c>
      <c r="B304" s="1" t="s">
        <v>274</v>
      </c>
      <c r="C304">
        <v>4.5999999999999996</v>
      </c>
      <c r="D304" t="str">
        <f>IF(Table2_2[[#This Row],[User_Rating]]&lt;4.164816,"Outlier","Normal")</f>
        <v>Normal</v>
      </c>
      <c r="E304">
        <v>7827</v>
      </c>
      <c r="F304" t="str">
        <f>IF(Table2_2[[#This Row],[Reviews]]&gt;$N$13,"Outlier"," Normal")</f>
        <v xml:space="preserve"> Normal</v>
      </c>
      <c r="G304">
        <v>20</v>
      </c>
      <c r="H304" t="str">
        <f>IF(Table2_2[[#This Row],[Price]]&gt;$N$20,"Outlier","Normal")</f>
        <v>Normal</v>
      </c>
      <c r="I304">
        <v>2012</v>
      </c>
      <c r="J304" t="str">
        <f>IF(Table2_2[[#This Row],[Year]]&gt;=2015,"Newer","Older")</f>
        <v>Older</v>
      </c>
      <c r="K304" s="1" t="s">
        <v>8</v>
      </c>
    </row>
    <row r="305" spans="1:11" x14ac:dyDescent="0.35">
      <c r="A305" s="1" t="s">
        <v>367</v>
      </c>
      <c r="B305" s="1" t="s">
        <v>368</v>
      </c>
      <c r="C305">
        <v>4.9000000000000004</v>
      </c>
      <c r="D305" t="str">
        <f>IF(Table2_2[[#This Row],[User_Rating]]&lt;4.164816,"Outlier","Normal")</f>
        <v>Normal</v>
      </c>
      <c r="E305">
        <v>9382</v>
      </c>
      <c r="F305" t="str">
        <f>IF(Table2_2[[#This Row],[Reviews]]&gt;$N$13,"Outlier"," Normal")</f>
        <v xml:space="preserve"> Normal</v>
      </c>
      <c r="G305">
        <v>6</v>
      </c>
      <c r="H305" t="str">
        <f>IF(Table2_2[[#This Row],[Price]]&gt;$N$20,"Outlier","Normal")</f>
        <v>Normal</v>
      </c>
      <c r="I305">
        <v>2019</v>
      </c>
      <c r="J305" t="str">
        <f>IF(Table2_2[[#This Row],[Year]]&gt;=2015,"Newer","Older")</f>
        <v>Newer</v>
      </c>
      <c r="K305" s="1" t="s">
        <v>11</v>
      </c>
    </row>
    <row r="306" spans="1:11" x14ac:dyDescent="0.35">
      <c r="A306" s="1" t="s">
        <v>369</v>
      </c>
      <c r="B306" s="1" t="s">
        <v>370</v>
      </c>
      <c r="C306">
        <v>4</v>
      </c>
      <c r="D306" t="str">
        <f>IF(Table2_2[[#This Row],[User_Rating]]&lt;4.164816,"Outlier","Normal")</f>
        <v>Outlier</v>
      </c>
      <c r="E306">
        <v>5069</v>
      </c>
      <c r="F306" t="str">
        <f>IF(Table2_2[[#This Row],[Reviews]]&gt;$N$13,"Outlier"," Normal")</f>
        <v xml:space="preserve"> Normal</v>
      </c>
      <c r="G306">
        <v>17</v>
      </c>
      <c r="H306" t="str">
        <f>IF(Table2_2[[#This Row],[Price]]&gt;$N$20,"Outlier","Normal")</f>
        <v>Normal</v>
      </c>
      <c r="I306">
        <v>2009</v>
      </c>
      <c r="J306" t="str">
        <f>IF(Table2_2[[#This Row],[Year]]&gt;=2015,"Newer","Older")</f>
        <v>Older</v>
      </c>
      <c r="K306" s="1" t="s">
        <v>8</v>
      </c>
    </row>
    <row r="307" spans="1:11" x14ac:dyDescent="0.35">
      <c r="A307" s="1" t="s">
        <v>369</v>
      </c>
      <c r="B307" s="1" t="s">
        <v>370</v>
      </c>
      <c r="C307">
        <v>4</v>
      </c>
      <c r="D307" t="str">
        <f>IF(Table2_2[[#This Row],[User_Rating]]&lt;4.164816,"Outlier","Normal")</f>
        <v>Outlier</v>
      </c>
      <c r="E307">
        <v>5069</v>
      </c>
      <c r="F307" t="str">
        <f>IF(Table2_2[[#This Row],[Reviews]]&gt;$N$13,"Outlier"," Normal")</f>
        <v xml:space="preserve"> Normal</v>
      </c>
      <c r="G307">
        <v>17</v>
      </c>
      <c r="H307" t="str">
        <f>IF(Table2_2[[#This Row],[Price]]&gt;$N$20,"Outlier","Normal")</f>
        <v>Normal</v>
      </c>
      <c r="I307">
        <v>2010</v>
      </c>
      <c r="J307" t="str">
        <f>IF(Table2_2[[#This Row],[Year]]&gt;=2015,"Newer","Older")</f>
        <v>Older</v>
      </c>
      <c r="K307" s="1" t="s">
        <v>8</v>
      </c>
    </row>
    <row r="308" spans="1:11" x14ac:dyDescent="0.35">
      <c r="A308" s="1" t="s">
        <v>369</v>
      </c>
      <c r="B308" s="1" t="s">
        <v>370</v>
      </c>
      <c r="C308">
        <v>4</v>
      </c>
      <c r="D308" t="str">
        <f>IF(Table2_2[[#This Row],[User_Rating]]&lt;4.164816,"Outlier","Normal")</f>
        <v>Outlier</v>
      </c>
      <c r="E308">
        <v>5069</v>
      </c>
      <c r="F308" t="str">
        <f>IF(Table2_2[[#This Row],[Reviews]]&gt;$N$13,"Outlier"," Normal")</f>
        <v xml:space="preserve"> Normal</v>
      </c>
      <c r="G308">
        <v>17</v>
      </c>
      <c r="H308" t="str">
        <f>IF(Table2_2[[#This Row],[Price]]&gt;$N$20,"Outlier","Normal")</f>
        <v>Normal</v>
      </c>
      <c r="I308">
        <v>2011</v>
      </c>
      <c r="J308" t="str">
        <f>IF(Table2_2[[#This Row],[Year]]&gt;=2015,"Newer","Older")</f>
        <v>Older</v>
      </c>
      <c r="K308" s="1" t="s">
        <v>8</v>
      </c>
    </row>
    <row r="309" spans="1:11" x14ac:dyDescent="0.35">
      <c r="A309" s="1" t="s">
        <v>369</v>
      </c>
      <c r="B309" s="1" t="s">
        <v>370</v>
      </c>
      <c r="C309">
        <v>4</v>
      </c>
      <c r="D309" t="str">
        <f>IF(Table2_2[[#This Row],[User_Rating]]&lt;4.164816,"Outlier","Normal")</f>
        <v>Outlier</v>
      </c>
      <c r="E309">
        <v>5069</v>
      </c>
      <c r="F309" t="str">
        <f>IF(Table2_2[[#This Row],[Reviews]]&gt;$N$13,"Outlier"," Normal")</f>
        <v xml:space="preserve"> Normal</v>
      </c>
      <c r="G309">
        <v>17</v>
      </c>
      <c r="H309" t="str">
        <f>IF(Table2_2[[#This Row],[Price]]&gt;$N$20,"Outlier","Normal")</f>
        <v>Normal</v>
      </c>
      <c r="I309">
        <v>2012</v>
      </c>
      <c r="J309" t="str">
        <f>IF(Table2_2[[#This Row],[Year]]&gt;=2015,"Newer","Older")</f>
        <v>Older</v>
      </c>
      <c r="K309" s="1" t="s">
        <v>8</v>
      </c>
    </row>
    <row r="310" spans="1:11" x14ac:dyDescent="0.35">
      <c r="A310" s="1" t="s">
        <v>369</v>
      </c>
      <c r="B310" s="1" t="s">
        <v>370</v>
      </c>
      <c r="C310">
        <v>4</v>
      </c>
      <c r="D310" t="str">
        <f>IF(Table2_2[[#This Row],[User_Rating]]&lt;4.164816,"Outlier","Normal")</f>
        <v>Outlier</v>
      </c>
      <c r="E310">
        <v>5069</v>
      </c>
      <c r="F310" t="str">
        <f>IF(Table2_2[[#This Row],[Reviews]]&gt;$N$13,"Outlier"," Normal")</f>
        <v xml:space="preserve"> Normal</v>
      </c>
      <c r="G310">
        <v>17</v>
      </c>
      <c r="H310" t="str">
        <f>IF(Table2_2[[#This Row],[Price]]&gt;$N$20,"Outlier","Normal")</f>
        <v>Normal</v>
      </c>
      <c r="I310">
        <v>2013</v>
      </c>
      <c r="J310" t="str">
        <f>IF(Table2_2[[#This Row],[Year]]&gt;=2015,"Newer","Older")</f>
        <v>Older</v>
      </c>
      <c r="K310" s="1" t="s">
        <v>8</v>
      </c>
    </row>
    <row r="311" spans="1:11" x14ac:dyDescent="0.35">
      <c r="A311" s="1" t="s">
        <v>369</v>
      </c>
      <c r="B311" s="1" t="s">
        <v>370</v>
      </c>
      <c r="C311">
        <v>4</v>
      </c>
      <c r="D311" t="str">
        <f>IF(Table2_2[[#This Row],[User_Rating]]&lt;4.164816,"Outlier","Normal")</f>
        <v>Outlier</v>
      </c>
      <c r="E311">
        <v>5069</v>
      </c>
      <c r="F311" t="str">
        <f>IF(Table2_2[[#This Row],[Reviews]]&gt;$N$13,"Outlier"," Normal")</f>
        <v xml:space="preserve"> Normal</v>
      </c>
      <c r="G311">
        <v>17</v>
      </c>
      <c r="H311" t="str">
        <f>IF(Table2_2[[#This Row],[Price]]&gt;$N$20,"Outlier","Normal")</f>
        <v>Normal</v>
      </c>
      <c r="I311">
        <v>2014</v>
      </c>
      <c r="J311" t="str">
        <f>IF(Table2_2[[#This Row],[Year]]&gt;=2015,"Newer","Older")</f>
        <v>Older</v>
      </c>
      <c r="K311" s="1" t="s">
        <v>8</v>
      </c>
    </row>
    <row r="312" spans="1:11" x14ac:dyDescent="0.35">
      <c r="A312" s="1" t="s">
        <v>369</v>
      </c>
      <c r="B312" s="1" t="s">
        <v>370</v>
      </c>
      <c r="C312">
        <v>4</v>
      </c>
      <c r="D312" t="str">
        <f>IF(Table2_2[[#This Row],[User_Rating]]&lt;4.164816,"Outlier","Normal")</f>
        <v>Outlier</v>
      </c>
      <c r="E312">
        <v>5069</v>
      </c>
      <c r="F312" t="str">
        <f>IF(Table2_2[[#This Row],[Reviews]]&gt;$N$13,"Outlier"," Normal")</f>
        <v xml:space="preserve"> Normal</v>
      </c>
      <c r="G312">
        <v>17</v>
      </c>
      <c r="H312" t="str">
        <f>IF(Table2_2[[#This Row],[Price]]&gt;$N$20,"Outlier","Normal")</f>
        <v>Normal</v>
      </c>
      <c r="I312">
        <v>2015</v>
      </c>
      <c r="J312" t="str">
        <f>IF(Table2_2[[#This Row],[Year]]&gt;=2015,"Newer","Older")</f>
        <v>Newer</v>
      </c>
      <c r="K312" s="1" t="s">
        <v>8</v>
      </c>
    </row>
    <row r="313" spans="1:11" x14ac:dyDescent="0.35">
      <c r="A313" s="1" t="s">
        <v>369</v>
      </c>
      <c r="B313" s="1" t="s">
        <v>370</v>
      </c>
      <c r="C313">
        <v>4</v>
      </c>
      <c r="D313" t="str">
        <f>IF(Table2_2[[#This Row],[User_Rating]]&lt;4.164816,"Outlier","Normal")</f>
        <v>Outlier</v>
      </c>
      <c r="E313">
        <v>5069</v>
      </c>
      <c r="F313" t="str">
        <f>IF(Table2_2[[#This Row],[Reviews]]&gt;$N$13,"Outlier"," Normal")</f>
        <v xml:space="preserve"> Normal</v>
      </c>
      <c r="G313">
        <v>17</v>
      </c>
      <c r="H313" t="str">
        <f>IF(Table2_2[[#This Row],[Price]]&gt;$N$20,"Outlier","Normal")</f>
        <v>Normal</v>
      </c>
      <c r="I313">
        <v>2016</v>
      </c>
      <c r="J313" t="str">
        <f>IF(Table2_2[[#This Row],[Year]]&gt;=2015,"Newer","Older")</f>
        <v>Newer</v>
      </c>
      <c r="K313" s="1" t="s">
        <v>8</v>
      </c>
    </row>
    <row r="314" spans="1:11" x14ac:dyDescent="0.35">
      <c r="A314" s="1" t="s">
        <v>369</v>
      </c>
      <c r="B314" s="1" t="s">
        <v>370</v>
      </c>
      <c r="C314">
        <v>4</v>
      </c>
      <c r="D314" t="str">
        <f>IF(Table2_2[[#This Row],[User_Rating]]&lt;4.164816,"Outlier","Normal")</f>
        <v>Outlier</v>
      </c>
      <c r="E314">
        <v>5069</v>
      </c>
      <c r="F314" t="str">
        <f>IF(Table2_2[[#This Row],[Reviews]]&gt;$N$13,"Outlier"," Normal")</f>
        <v xml:space="preserve"> Normal</v>
      </c>
      <c r="G314">
        <v>17</v>
      </c>
      <c r="H314" t="str">
        <f>IF(Table2_2[[#This Row],[Price]]&gt;$N$20,"Outlier","Normal")</f>
        <v>Normal</v>
      </c>
      <c r="I314">
        <v>2017</v>
      </c>
      <c r="J314" t="str">
        <f>IF(Table2_2[[#This Row],[Year]]&gt;=2015,"Newer","Older")</f>
        <v>Newer</v>
      </c>
      <c r="K314" s="1" t="s">
        <v>8</v>
      </c>
    </row>
    <row r="315" spans="1:11" x14ac:dyDescent="0.35">
      <c r="A315" s="1" t="s">
        <v>371</v>
      </c>
      <c r="B315" s="1" t="s">
        <v>372</v>
      </c>
      <c r="C315">
        <v>4.5</v>
      </c>
      <c r="D315" t="str">
        <f>IF(Table2_2[[#This Row],[User_Rating]]&lt;4.164816,"Outlier","Normal")</f>
        <v>Normal</v>
      </c>
      <c r="E315">
        <v>1583</v>
      </c>
      <c r="F315" t="str">
        <f>IF(Table2_2[[#This Row],[Reviews]]&gt;$N$13,"Outlier"," Normal")</f>
        <v xml:space="preserve"> Normal</v>
      </c>
      <c r="G315">
        <v>18</v>
      </c>
      <c r="H315" t="str">
        <f>IF(Table2_2[[#This Row],[Price]]&gt;$N$20,"Outlier","Normal")</f>
        <v>Normal</v>
      </c>
      <c r="I315">
        <v>2009</v>
      </c>
      <c r="J315" t="str">
        <f>IF(Table2_2[[#This Row],[Year]]&gt;=2015,"Newer","Older")</f>
        <v>Older</v>
      </c>
      <c r="K315" s="1" t="s">
        <v>8</v>
      </c>
    </row>
    <row r="316" spans="1:11" x14ac:dyDescent="0.35">
      <c r="A316" s="1" t="s">
        <v>373</v>
      </c>
      <c r="B316" s="1" t="s">
        <v>374</v>
      </c>
      <c r="C316">
        <v>4.5999999999999996</v>
      </c>
      <c r="D316" t="str">
        <f>IF(Table2_2[[#This Row],[User_Rating]]&lt;4.164816,"Outlier","Normal")</f>
        <v>Normal</v>
      </c>
      <c r="E316">
        <v>1907</v>
      </c>
      <c r="F316" t="str">
        <f>IF(Table2_2[[#This Row],[Reviews]]&gt;$N$13,"Outlier"," Normal")</f>
        <v xml:space="preserve"> Normal</v>
      </c>
      <c r="G316">
        <v>13</v>
      </c>
      <c r="H316" t="str">
        <f>IF(Table2_2[[#This Row],[Price]]&gt;$N$20,"Outlier","Normal")</f>
        <v>Normal</v>
      </c>
      <c r="I316">
        <v>2010</v>
      </c>
      <c r="J316" t="str">
        <f>IF(Table2_2[[#This Row],[Year]]&gt;=2015,"Newer","Older")</f>
        <v>Older</v>
      </c>
      <c r="K316" s="1" t="s">
        <v>8</v>
      </c>
    </row>
    <row r="317" spans="1:11" x14ac:dyDescent="0.35">
      <c r="A317" s="1" t="s">
        <v>375</v>
      </c>
      <c r="B317" s="1" t="s">
        <v>376</v>
      </c>
      <c r="C317">
        <v>4.5</v>
      </c>
      <c r="D317" t="str">
        <f>IF(Table2_2[[#This Row],[User_Rating]]&lt;4.164816,"Outlier","Normal")</f>
        <v>Normal</v>
      </c>
      <c r="E317">
        <v>23114</v>
      </c>
      <c r="F317" t="str">
        <f>IF(Table2_2[[#This Row],[Reviews]]&gt;$N$13,"Outlier"," Normal")</f>
        <v xml:space="preserve"> Normal</v>
      </c>
      <c r="G317">
        <v>18</v>
      </c>
      <c r="H317" t="str">
        <f>IF(Table2_2[[#This Row],[Price]]&gt;$N$20,"Outlier","Normal")</f>
        <v>Normal</v>
      </c>
      <c r="I317">
        <v>2013</v>
      </c>
      <c r="J317" t="str">
        <f>IF(Table2_2[[#This Row],[Year]]&gt;=2015,"Newer","Older")</f>
        <v>Older</v>
      </c>
      <c r="K317" s="1" t="s">
        <v>11</v>
      </c>
    </row>
    <row r="318" spans="1:11" x14ac:dyDescent="0.35">
      <c r="A318" s="1" t="s">
        <v>377</v>
      </c>
      <c r="B318" s="1" t="s">
        <v>378</v>
      </c>
      <c r="C318">
        <v>4.4000000000000004</v>
      </c>
      <c r="D318" t="str">
        <f>IF(Table2_2[[#This Row],[User_Rating]]&lt;4.164816,"Outlier","Normal")</f>
        <v>Normal</v>
      </c>
      <c r="E318">
        <v>637</v>
      </c>
      <c r="F318" t="str">
        <f>IF(Table2_2[[#This Row],[Reviews]]&gt;$N$13,"Outlier"," Normal")</f>
        <v xml:space="preserve"> Normal</v>
      </c>
      <c r="G318">
        <v>20</v>
      </c>
      <c r="H318" t="str">
        <f>IF(Table2_2[[#This Row],[Price]]&gt;$N$20,"Outlier","Normal")</f>
        <v>Normal</v>
      </c>
      <c r="I318">
        <v>2010</v>
      </c>
      <c r="J318" t="str">
        <f>IF(Table2_2[[#This Row],[Year]]&gt;=2015,"Newer","Older")</f>
        <v>Older</v>
      </c>
      <c r="K318" s="1" t="s">
        <v>8</v>
      </c>
    </row>
    <row r="319" spans="1:11" x14ac:dyDescent="0.35">
      <c r="A319" s="1" t="s">
        <v>377</v>
      </c>
      <c r="B319" s="1" t="s">
        <v>378</v>
      </c>
      <c r="C319">
        <v>4.4000000000000004</v>
      </c>
      <c r="D319" t="str">
        <f>IF(Table2_2[[#This Row],[User_Rating]]&lt;4.164816,"Outlier","Normal")</f>
        <v>Normal</v>
      </c>
      <c r="E319">
        <v>637</v>
      </c>
      <c r="F319" t="str">
        <f>IF(Table2_2[[#This Row],[Reviews]]&gt;$N$13,"Outlier"," Normal")</f>
        <v xml:space="preserve"> Normal</v>
      </c>
      <c r="G319">
        <v>20</v>
      </c>
      <c r="H319" t="str">
        <f>IF(Table2_2[[#This Row],[Price]]&gt;$N$20,"Outlier","Normal")</f>
        <v>Normal</v>
      </c>
      <c r="I319">
        <v>2011</v>
      </c>
      <c r="J319" t="str">
        <f>IF(Table2_2[[#This Row],[Year]]&gt;=2015,"Newer","Older")</f>
        <v>Older</v>
      </c>
      <c r="K319" s="1" t="s">
        <v>8</v>
      </c>
    </row>
    <row r="320" spans="1:11" x14ac:dyDescent="0.35">
      <c r="A320" s="1" t="s">
        <v>379</v>
      </c>
      <c r="B320" s="1" t="s">
        <v>380</v>
      </c>
      <c r="C320">
        <v>4.3</v>
      </c>
      <c r="D320" t="str">
        <f>IF(Table2_2[[#This Row],[User_Rating]]&lt;4.164816,"Outlier","Normal")</f>
        <v>Normal</v>
      </c>
      <c r="E320">
        <v>2314</v>
      </c>
      <c r="F320" t="str">
        <f>IF(Table2_2[[#This Row],[Reviews]]&gt;$N$13,"Outlier"," Normal")</f>
        <v xml:space="preserve"> Normal</v>
      </c>
      <c r="G320">
        <v>22</v>
      </c>
      <c r="H320" t="str">
        <f>IF(Table2_2[[#This Row],[Price]]&gt;$N$20,"Outlier","Normal")</f>
        <v>Normal</v>
      </c>
      <c r="I320">
        <v>2011</v>
      </c>
      <c r="J320" t="str">
        <f>IF(Table2_2[[#This Row],[Year]]&gt;=2015,"Newer","Older")</f>
        <v>Older</v>
      </c>
      <c r="K320" s="1" t="s">
        <v>8</v>
      </c>
    </row>
    <row r="321" spans="1:11" x14ac:dyDescent="0.35">
      <c r="A321" s="1" t="s">
        <v>381</v>
      </c>
      <c r="B321" s="1" t="s">
        <v>382</v>
      </c>
      <c r="C321">
        <v>4.3</v>
      </c>
      <c r="D321" t="str">
        <f>IF(Table2_2[[#This Row],[User_Rating]]&lt;4.164816,"Outlier","Normal")</f>
        <v>Normal</v>
      </c>
      <c r="E321">
        <v>4587</v>
      </c>
      <c r="F321" t="str">
        <f>IF(Table2_2[[#This Row],[Reviews]]&gt;$N$13,"Outlier"," Normal")</f>
        <v xml:space="preserve"> Normal</v>
      </c>
      <c r="G321">
        <v>21</v>
      </c>
      <c r="H321" t="str">
        <f>IF(Table2_2[[#This Row],[Price]]&gt;$N$20,"Outlier","Normal")</f>
        <v>Normal</v>
      </c>
      <c r="I321">
        <v>2011</v>
      </c>
      <c r="J321" t="str">
        <f>IF(Table2_2[[#This Row],[Year]]&gt;=2015,"Newer","Older")</f>
        <v>Older</v>
      </c>
      <c r="K321" s="1" t="s">
        <v>8</v>
      </c>
    </row>
    <row r="322" spans="1:11" x14ac:dyDescent="0.35">
      <c r="A322" s="1" t="s">
        <v>383</v>
      </c>
      <c r="B322" s="1" t="s">
        <v>384</v>
      </c>
      <c r="C322">
        <v>4.7</v>
      </c>
      <c r="D322" t="str">
        <f>IF(Table2_2[[#This Row],[User_Rating]]&lt;4.164816,"Outlier","Normal")</f>
        <v>Normal</v>
      </c>
      <c r="E322">
        <v>3477</v>
      </c>
      <c r="F322" t="str">
        <f>IF(Table2_2[[#This Row],[Reviews]]&gt;$N$13,"Outlier"," Normal")</f>
        <v xml:space="preserve"> Normal</v>
      </c>
      <c r="G322">
        <v>28</v>
      </c>
      <c r="H322" t="str">
        <f>IF(Table2_2[[#This Row],[Price]]&gt;$N$20,"Outlier","Normal")</f>
        <v>Normal</v>
      </c>
      <c r="I322">
        <v>2010</v>
      </c>
      <c r="J322" t="str">
        <f>IF(Table2_2[[#This Row],[Year]]&gt;=2015,"Newer","Older")</f>
        <v>Older</v>
      </c>
      <c r="K322" s="1" t="s">
        <v>8</v>
      </c>
    </row>
    <row r="323" spans="1:11" x14ac:dyDescent="0.35">
      <c r="A323" s="1" t="s">
        <v>383</v>
      </c>
      <c r="B323" s="1" t="s">
        <v>384</v>
      </c>
      <c r="C323">
        <v>4.7</v>
      </c>
      <c r="D323" t="str">
        <f>IF(Table2_2[[#This Row],[User_Rating]]&lt;4.164816,"Outlier","Normal")</f>
        <v>Normal</v>
      </c>
      <c r="E323">
        <v>3477</v>
      </c>
      <c r="F323" t="str">
        <f>IF(Table2_2[[#This Row],[Reviews]]&gt;$N$13,"Outlier"," Normal")</f>
        <v xml:space="preserve"> Normal</v>
      </c>
      <c r="G323">
        <v>28</v>
      </c>
      <c r="H323" t="str">
        <f>IF(Table2_2[[#This Row],[Price]]&gt;$N$20,"Outlier","Normal")</f>
        <v>Normal</v>
      </c>
      <c r="I323">
        <v>2011</v>
      </c>
      <c r="J323" t="str">
        <f>IF(Table2_2[[#This Row],[Year]]&gt;=2015,"Newer","Older")</f>
        <v>Older</v>
      </c>
      <c r="K323" s="1" t="s">
        <v>8</v>
      </c>
    </row>
    <row r="324" spans="1:11" x14ac:dyDescent="0.35">
      <c r="A324" s="1" t="s">
        <v>383</v>
      </c>
      <c r="B324" s="1" t="s">
        <v>384</v>
      </c>
      <c r="C324">
        <v>4.7</v>
      </c>
      <c r="D324" t="str">
        <f>IF(Table2_2[[#This Row],[User_Rating]]&lt;4.164816,"Outlier","Normal")</f>
        <v>Normal</v>
      </c>
      <c r="E324">
        <v>3477</v>
      </c>
      <c r="F324" t="str">
        <f>IF(Table2_2[[#This Row],[Reviews]]&gt;$N$13,"Outlier"," Normal")</f>
        <v xml:space="preserve"> Normal</v>
      </c>
      <c r="G324">
        <v>28</v>
      </c>
      <c r="H324" t="str">
        <f>IF(Table2_2[[#This Row],[Price]]&gt;$N$20,"Outlier","Normal")</f>
        <v>Normal</v>
      </c>
      <c r="I324">
        <v>2012</v>
      </c>
      <c r="J324" t="str">
        <f>IF(Table2_2[[#This Row],[Year]]&gt;=2015,"Newer","Older")</f>
        <v>Older</v>
      </c>
      <c r="K324" s="1" t="s">
        <v>8</v>
      </c>
    </row>
    <row r="325" spans="1:11" x14ac:dyDescent="0.35">
      <c r="A325" s="1" t="s">
        <v>383</v>
      </c>
      <c r="B325" s="1" t="s">
        <v>384</v>
      </c>
      <c r="C325">
        <v>4.7</v>
      </c>
      <c r="D325" t="str">
        <f>IF(Table2_2[[#This Row],[User_Rating]]&lt;4.164816,"Outlier","Normal")</f>
        <v>Normal</v>
      </c>
      <c r="E325">
        <v>3477</v>
      </c>
      <c r="F325" t="str">
        <f>IF(Table2_2[[#This Row],[Reviews]]&gt;$N$13,"Outlier"," Normal")</f>
        <v xml:space="preserve"> Normal</v>
      </c>
      <c r="G325">
        <v>28</v>
      </c>
      <c r="H325" t="str">
        <f>IF(Table2_2[[#This Row],[Price]]&gt;$N$20,"Outlier","Normal")</f>
        <v>Normal</v>
      </c>
      <c r="I325">
        <v>2013</v>
      </c>
      <c r="J325" t="str">
        <f>IF(Table2_2[[#This Row],[Year]]&gt;=2015,"Newer","Older")</f>
        <v>Older</v>
      </c>
      <c r="K325" s="1" t="s">
        <v>8</v>
      </c>
    </row>
    <row r="326" spans="1:11" x14ac:dyDescent="0.35">
      <c r="A326" s="1" t="s">
        <v>383</v>
      </c>
      <c r="B326" s="1" t="s">
        <v>384</v>
      </c>
      <c r="C326">
        <v>4.7</v>
      </c>
      <c r="D326" t="str">
        <f>IF(Table2_2[[#This Row],[User_Rating]]&lt;4.164816,"Outlier","Normal")</f>
        <v>Normal</v>
      </c>
      <c r="E326">
        <v>3477</v>
      </c>
      <c r="F326" t="str">
        <f>IF(Table2_2[[#This Row],[Reviews]]&gt;$N$13,"Outlier"," Normal")</f>
        <v xml:space="preserve"> Normal</v>
      </c>
      <c r="G326">
        <v>28</v>
      </c>
      <c r="H326" t="str">
        <f>IF(Table2_2[[#This Row],[Price]]&gt;$N$20,"Outlier","Normal")</f>
        <v>Normal</v>
      </c>
      <c r="I326">
        <v>2014</v>
      </c>
      <c r="J326" t="str">
        <f>IF(Table2_2[[#This Row],[Year]]&gt;=2015,"Newer","Older")</f>
        <v>Older</v>
      </c>
      <c r="K326" s="1" t="s">
        <v>8</v>
      </c>
    </row>
    <row r="327" spans="1:11" x14ac:dyDescent="0.35">
      <c r="A327" s="1" t="s">
        <v>385</v>
      </c>
      <c r="B327" s="1" t="s">
        <v>384</v>
      </c>
      <c r="C327">
        <v>4.8</v>
      </c>
      <c r="D327" t="str">
        <f>IF(Table2_2[[#This Row],[User_Rating]]&lt;4.164816,"Outlier","Normal")</f>
        <v>Normal</v>
      </c>
      <c r="E327">
        <v>25554</v>
      </c>
      <c r="F327" t="str">
        <f>IF(Table2_2[[#This Row],[Reviews]]&gt;$N$13,"Outlier"," Normal")</f>
        <v xml:space="preserve"> Normal</v>
      </c>
      <c r="G327">
        <v>8</v>
      </c>
      <c r="H327" t="str">
        <f>IF(Table2_2[[#This Row],[Price]]&gt;$N$20,"Outlier","Normal")</f>
        <v>Normal</v>
      </c>
      <c r="I327">
        <v>2015</v>
      </c>
      <c r="J327" t="str">
        <f>IF(Table2_2[[#This Row],[Year]]&gt;=2015,"Newer","Older")</f>
        <v>Newer</v>
      </c>
      <c r="K327" s="1" t="s">
        <v>8</v>
      </c>
    </row>
    <row r="328" spans="1:11" x14ac:dyDescent="0.35">
      <c r="A328" s="1" t="s">
        <v>385</v>
      </c>
      <c r="B328" s="1" t="s">
        <v>384</v>
      </c>
      <c r="C328">
        <v>4.8</v>
      </c>
      <c r="D328" t="str">
        <f>IF(Table2_2[[#This Row],[User_Rating]]&lt;4.164816,"Outlier","Normal")</f>
        <v>Normal</v>
      </c>
      <c r="E328">
        <v>25554</v>
      </c>
      <c r="F328" t="str">
        <f>IF(Table2_2[[#This Row],[Reviews]]&gt;$N$13,"Outlier"," Normal")</f>
        <v xml:space="preserve"> Normal</v>
      </c>
      <c r="G328">
        <v>8</v>
      </c>
      <c r="H328" t="str">
        <f>IF(Table2_2[[#This Row],[Price]]&gt;$N$20,"Outlier","Normal")</f>
        <v>Normal</v>
      </c>
      <c r="I328">
        <v>2016</v>
      </c>
      <c r="J328" t="str">
        <f>IF(Table2_2[[#This Row],[Year]]&gt;=2015,"Newer","Older")</f>
        <v>Newer</v>
      </c>
      <c r="K328" s="1" t="s">
        <v>8</v>
      </c>
    </row>
    <row r="329" spans="1:11" x14ac:dyDescent="0.35">
      <c r="A329" s="1" t="s">
        <v>385</v>
      </c>
      <c r="B329" s="1" t="s">
        <v>384</v>
      </c>
      <c r="C329">
        <v>4.8</v>
      </c>
      <c r="D329" t="str">
        <f>IF(Table2_2[[#This Row],[User_Rating]]&lt;4.164816,"Outlier","Normal")</f>
        <v>Normal</v>
      </c>
      <c r="E329">
        <v>25554</v>
      </c>
      <c r="F329" t="str">
        <f>IF(Table2_2[[#This Row],[Reviews]]&gt;$N$13,"Outlier"," Normal")</f>
        <v xml:space="preserve"> Normal</v>
      </c>
      <c r="G329">
        <v>8</v>
      </c>
      <c r="H329" t="str">
        <f>IF(Table2_2[[#This Row],[Price]]&gt;$N$20,"Outlier","Normal")</f>
        <v>Normal</v>
      </c>
      <c r="I329">
        <v>2017</v>
      </c>
      <c r="J329" t="str">
        <f>IF(Table2_2[[#This Row],[Year]]&gt;=2015,"Newer","Older")</f>
        <v>Newer</v>
      </c>
      <c r="K329" s="1" t="s">
        <v>8</v>
      </c>
    </row>
    <row r="330" spans="1:11" x14ac:dyDescent="0.35">
      <c r="A330" s="1" t="s">
        <v>385</v>
      </c>
      <c r="B330" s="1" t="s">
        <v>384</v>
      </c>
      <c r="C330">
        <v>4.8</v>
      </c>
      <c r="D330" t="str">
        <f>IF(Table2_2[[#This Row],[User_Rating]]&lt;4.164816,"Outlier","Normal")</f>
        <v>Normal</v>
      </c>
      <c r="E330">
        <v>25554</v>
      </c>
      <c r="F330" t="str">
        <f>IF(Table2_2[[#This Row],[Reviews]]&gt;$N$13,"Outlier"," Normal")</f>
        <v xml:space="preserve"> Normal</v>
      </c>
      <c r="G330">
        <v>8</v>
      </c>
      <c r="H330" t="str">
        <f>IF(Table2_2[[#This Row],[Price]]&gt;$N$20,"Outlier","Normal")</f>
        <v>Normal</v>
      </c>
      <c r="I330">
        <v>2018</v>
      </c>
      <c r="J330" t="str">
        <f>IF(Table2_2[[#This Row],[Year]]&gt;=2015,"Newer","Older")</f>
        <v>Newer</v>
      </c>
      <c r="K330" s="1" t="s">
        <v>8</v>
      </c>
    </row>
    <row r="331" spans="1:11" x14ac:dyDescent="0.35">
      <c r="A331" s="1" t="s">
        <v>385</v>
      </c>
      <c r="B331" s="1" t="s">
        <v>384</v>
      </c>
      <c r="C331">
        <v>4.8</v>
      </c>
      <c r="D331" t="str">
        <f>IF(Table2_2[[#This Row],[User_Rating]]&lt;4.164816,"Outlier","Normal")</f>
        <v>Normal</v>
      </c>
      <c r="E331">
        <v>25554</v>
      </c>
      <c r="F331" t="str">
        <f>IF(Table2_2[[#This Row],[Reviews]]&gt;$N$13,"Outlier"," Normal")</f>
        <v xml:space="preserve"> Normal</v>
      </c>
      <c r="G331">
        <v>8</v>
      </c>
      <c r="H331" t="str">
        <f>IF(Table2_2[[#This Row],[Price]]&gt;$N$20,"Outlier","Normal")</f>
        <v>Normal</v>
      </c>
      <c r="I331">
        <v>2019</v>
      </c>
      <c r="J331" t="str">
        <f>IF(Table2_2[[#This Row],[Year]]&gt;=2015,"Newer","Older")</f>
        <v>Newer</v>
      </c>
      <c r="K331" s="1" t="s">
        <v>8</v>
      </c>
    </row>
    <row r="332" spans="1:11" x14ac:dyDescent="0.35">
      <c r="A332" s="1" t="s">
        <v>386</v>
      </c>
      <c r="B332" s="1" t="s">
        <v>387</v>
      </c>
      <c r="C332">
        <v>4.8</v>
      </c>
      <c r="D332" t="str">
        <f>IF(Table2_2[[#This Row],[User_Rating]]&lt;4.164816,"Outlier","Normal")</f>
        <v>Normal</v>
      </c>
      <c r="E332">
        <v>1680</v>
      </c>
      <c r="F332" t="str">
        <f>IF(Table2_2[[#This Row],[Reviews]]&gt;$N$13,"Outlier"," Normal")</f>
        <v xml:space="preserve"> Normal</v>
      </c>
      <c r="G332">
        <v>12</v>
      </c>
      <c r="H332" t="str">
        <f>IF(Table2_2[[#This Row],[Price]]&gt;$N$20,"Outlier","Normal")</f>
        <v>Normal</v>
      </c>
      <c r="I332">
        <v>2009</v>
      </c>
      <c r="J332" t="str">
        <f>IF(Table2_2[[#This Row],[Year]]&gt;=2015,"Newer","Older")</f>
        <v>Older</v>
      </c>
      <c r="K332" s="1" t="s">
        <v>8</v>
      </c>
    </row>
    <row r="333" spans="1:11" x14ac:dyDescent="0.35">
      <c r="A333" s="1" t="s">
        <v>388</v>
      </c>
      <c r="B333" s="1" t="s">
        <v>389</v>
      </c>
      <c r="C333">
        <v>4.5999999999999996</v>
      </c>
      <c r="D333" t="str">
        <f>IF(Table2_2[[#This Row],[User_Rating]]&lt;4.164816,"Outlier","Normal")</f>
        <v>Normal</v>
      </c>
      <c r="E333">
        <v>9325</v>
      </c>
      <c r="F333" t="str">
        <f>IF(Table2_2[[#This Row],[Reviews]]&gt;$N$13,"Outlier"," Normal")</f>
        <v xml:space="preserve"> Normal</v>
      </c>
      <c r="G333">
        <v>24</v>
      </c>
      <c r="H333" t="str">
        <f>IF(Table2_2[[#This Row],[Price]]&gt;$N$20,"Outlier","Normal")</f>
        <v>Normal</v>
      </c>
      <c r="I333">
        <v>2009</v>
      </c>
      <c r="J333" t="str">
        <f>IF(Table2_2[[#This Row],[Year]]&gt;=2015,"Newer","Older")</f>
        <v>Older</v>
      </c>
      <c r="K333" s="1" t="s">
        <v>8</v>
      </c>
    </row>
    <row r="334" spans="1:11" x14ac:dyDescent="0.35">
      <c r="A334" s="1" t="s">
        <v>388</v>
      </c>
      <c r="B334" s="1" t="s">
        <v>389</v>
      </c>
      <c r="C334">
        <v>4.5999999999999996</v>
      </c>
      <c r="D334" t="str">
        <f>IF(Table2_2[[#This Row],[User_Rating]]&lt;4.164816,"Outlier","Normal")</f>
        <v>Normal</v>
      </c>
      <c r="E334">
        <v>9325</v>
      </c>
      <c r="F334" t="str">
        <f>IF(Table2_2[[#This Row],[Reviews]]&gt;$N$13,"Outlier"," Normal")</f>
        <v xml:space="preserve"> Normal</v>
      </c>
      <c r="G334">
        <v>24</v>
      </c>
      <c r="H334" t="str">
        <f>IF(Table2_2[[#This Row],[Price]]&gt;$N$20,"Outlier","Normal")</f>
        <v>Normal</v>
      </c>
      <c r="I334">
        <v>2011</v>
      </c>
      <c r="J334" t="str">
        <f>IF(Table2_2[[#This Row],[Year]]&gt;=2015,"Newer","Older")</f>
        <v>Older</v>
      </c>
      <c r="K334" s="1" t="s">
        <v>8</v>
      </c>
    </row>
    <row r="335" spans="1:11" x14ac:dyDescent="0.35">
      <c r="A335" s="1" t="s">
        <v>388</v>
      </c>
      <c r="B335" s="1" t="s">
        <v>389</v>
      </c>
      <c r="C335">
        <v>4.5999999999999996</v>
      </c>
      <c r="D335" t="str">
        <f>IF(Table2_2[[#This Row],[User_Rating]]&lt;4.164816,"Outlier","Normal")</f>
        <v>Normal</v>
      </c>
      <c r="E335">
        <v>9325</v>
      </c>
      <c r="F335" t="str">
        <f>IF(Table2_2[[#This Row],[Reviews]]&gt;$N$13,"Outlier"," Normal")</f>
        <v xml:space="preserve"> Normal</v>
      </c>
      <c r="G335">
        <v>24</v>
      </c>
      <c r="H335" t="str">
        <f>IF(Table2_2[[#This Row],[Price]]&gt;$N$20,"Outlier","Normal")</f>
        <v>Normal</v>
      </c>
      <c r="I335">
        <v>2012</v>
      </c>
      <c r="J335" t="str">
        <f>IF(Table2_2[[#This Row],[Year]]&gt;=2015,"Newer","Older")</f>
        <v>Older</v>
      </c>
      <c r="K335" s="1" t="s">
        <v>8</v>
      </c>
    </row>
    <row r="336" spans="1:11" x14ac:dyDescent="0.35">
      <c r="A336" s="1" t="s">
        <v>388</v>
      </c>
      <c r="B336" s="1" t="s">
        <v>389</v>
      </c>
      <c r="C336">
        <v>4.5999999999999996</v>
      </c>
      <c r="D336" t="str">
        <f>IF(Table2_2[[#This Row],[User_Rating]]&lt;4.164816,"Outlier","Normal")</f>
        <v>Normal</v>
      </c>
      <c r="E336">
        <v>9325</v>
      </c>
      <c r="F336" t="str">
        <f>IF(Table2_2[[#This Row],[Reviews]]&gt;$N$13,"Outlier"," Normal")</f>
        <v xml:space="preserve"> Normal</v>
      </c>
      <c r="G336">
        <v>24</v>
      </c>
      <c r="H336" t="str">
        <f>IF(Table2_2[[#This Row],[Price]]&gt;$N$20,"Outlier","Normal")</f>
        <v>Normal</v>
      </c>
      <c r="I336">
        <v>2013</v>
      </c>
      <c r="J336" t="str">
        <f>IF(Table2_2[[#This Row],[Year]]&gt;=2015,"Newer","Older")</f>
        <v>Older</v>
      </c>
      <c r="K336" s="1" t="s">
        <v>8</v>
      </c>
    </row>
    <row r="337" spans="1:11" x14ac:dyDescent="0.35">
      <c r="A337" s="1" t="s">
        <v>388</v>
      </c>
      <c r="B337" s="1" t="s">
        <v>389</v>
      </c>
      <c r="C337">
        <v>4.7</v>
      </c>
      <c r="D337" t="str">
        <f>IF(Table2_2[[#This Row],[User_Rating]]&lt;4.164816,"Outlier","Normal")</f>
        <v>Normal</v>
      </c>
      <c r="E337">
        <v>4725</v>
      </c>
      <c r="F337" t="str">
        <f>IF(Table2_2[[#This Row],[Reviews]]&gt;$N$13,"Outlier"," Normal")</f>
        <v xml:space="preserve"> Normal</v>
      </c>
      <c r="G337">
        <v>16</v>
      </c>
      <c r="H337" t="str">
        <f>IF(Table2_2[[#This Row],[Price]]&gt;$N$20,"Outlier","Normal")</f>
        <v>Normal</v>
      </c>
      <c r="I337">
        <v>2015</v>
      </c>
      <c r="J337" t="str">
        <f>IF(Table2_2[[#This Row],[Year]]&gt;=2015,"Newer","Older")</f>
        <v>Newer</v>
      </c>
      <c r="K337" s="1" t="s">
        <v>8</v>
      </c>
    </row>
    <row r="338" spans="1:11" x14ac:dyDescent="0.35">
      <c r="A338" s="1" t="s">
        <v>388</v>
      </c>
      <c r="B338" s="1" t="s">
        <v>389</v>
      </c>
      <c r="C338">
        <v>4.7</v>
      </c>
      <c r="D338" t="str">
        <f>IF(Table2_2[[#This Row],[User_Rating]]&lt;4.164816,"Outlier","Normal")</f>
        <v>Normal</v>
      </c>
      <c r="E338">
        <v>4725</v>
      </c>
      <c r="F338" t="str">
        <f>IF(Table2_2[[#This Row],[Reviews]]&gt;$N$13,"Outlier"," Normal")</f>
        <v xml:space="preserve"> Normal</v>
      </c>
      <c r="G338">
        <v>16</v>
      </c>
      <c r="H338" t="str">
        <f>IF(Table2_2[[#This Row],[Price]]&gt;$N$20,"Outlier","Normal")</f>
        <v>Normal</v>
      </c>
      <c r="I338">
        <v>2016</v>
      </c>
      <c r="J338" t="str">
        <f>IF(Table2_2[[#This Row],[Year]]&gt;=2015,"Newer","Older")</f>
        <v>Newer</v>
      </c>
      <c r="K338" s="1" t="s">
        <v>8</v>
      </c>
    </row>
    <row r="339" spans="1:11" x14ac:dyDescent="0.35">
      <c r="A339" s="1" t="s">
        <v>388</v>
      </c>
      <c r="B339" s="1" t="s">
        <v>389</v>
      </c>
      <c r="C339">
        <v>4.7</v>
      </c>
      <c r="D339" t="str">
        <f>IF(Table2_2[[#This Row],[User_Rating]]&lt;4.164816,"Outlier","Normal")</f>
        <v>Normal</v>
      </c>
      <c r="E339">
        <v>4725</v>
      </c>
      <c r="F339" t="str">
        <f>IF(Table2_2[[#This Row],[Reviews]]&gt;$N$13,"Outlier"," Normal")</f>
        <v xml:space="preserve"> Normal</v>
      </c>
      <c r="G339">
        <v>16</v>
      </c>
      <c r="H339" t="str">
        <f>IF(Table2_2[[#This Row],[Price]]&gt;$N$20,"Outlier","Normal")</f>
        <v>Normal</v>
      </c>
      <c r="I339">
        <v>2017</v>
      </c>
      <c r="J339" t="str">
        <f>IF(Table2_2[[#This Row],[Year]]&gt;=2015,"Newer","Older")</f>
        <v>Newer</v>
      </c>
      <c r="K339" s="1" t="s">
        <v>8</v>
      </c>
    </row>
    <row r="340" spans="1:11" x14ac:dyDescent="0.35">
      <c r="A340" s="1" t="s">
        <v>390</v>
      </c>
      <c r="B340" s="1" t="s">
        <v>391</v>
      </c>
      <c r="C340">
        <v>4.7</v>
      </c>
      <c r="D340" t="str">
        <f>IF(Table2_2[[#This Row],[User_Rating]]&lt;4.164816,"Outlier","Normal")</f>
        <v>Normal</v>
      </c>
      <c r="E340">
        <v>35799</v>
      </c>
      <c r="F340" t="str">
        <f>IF(Table2_2[[#This Row],[Reviews]]&gt;$N$13,"Outlier"," Normal")</f>
        <v>Outlier</v>
      </c>
      <c r="G340">
        <v>39</v>
      </c>
      <c r="H340" t="str">
        <f>IF(Table2_2[[#This Row],[Price]]&gt;$N$20,"Outlier","Normal")</f>
        <v>Outlier</v>
      </c>
      <c r="I340">
        <v>2014</v>
      </c>
      <c r="J340" t="str">
        <f>IF(Table2_2[[#This Row],[Year]]&gt;=2015,"Newer","Older")</f>
        <v>Older</v>
      </c>
      <c r="K340" s="1" t="s">
        <v>11</v>
      </c>
    </row>
    <row r="341" spans="1:11" x14ac:dyDescent="0.35">
      <c r="A341" s="1" t="s">
        <v>392</v>
      </c>
      <c r="B341" s="1" t="s">
        <v>393</v>
      </c>
      <c r="C341">
        <v>4.5999999999999996</v>
      </c>
      <c r="D341" t="str">
        <f>IF(Table2_2[[#This Row],[User_Rating]]&lt;4.164816,"Outlier","Normal")</f>
        <v>Normal</v>
      </c>
      <c r="E341">
        <v>2580</v>
      </c>
      <c r="F341" t="str">
        <f>IF(Table2_2[[#This Row],[Reviews]]&gt;$N$13,"Outlier"," Normal")</f>
        <v xml:space="preserve"> Normal</v>
      </c>
      <c r="G341">
        <v>9</v>
      </c>
      <c r="H341" t="str">
        <f>IF(Table2_2[[#This Row],[Price]]&gt;$N$20,"Outlier","Normal")</f>
        <v>Normal</v>
      </c>
      <c r="I341">
        <v>2012</v>
      </c>
      <c r="J341" t="str">
        <f>IF(Table2_2[[#This Row],[Year]]&gt;=2015,"Newer","Older")</f>
        <v>Older</v>
      </c>
      <c r="K341" s="1" t="s">
        <v>8</v>
      </c>
    </row>
    <row r="342" spans="1:11" x14ac:dyDescent="0.35">
      <c r="A342" s="1" t="s">
        <v>394</v>
      </c>
      <c r="B342" s="1" t="s">
        <v>395</v>
      </c>
      <c r="C342">
        <v>4.7</v>
      </c>
      <c r="D342" t="str">
        <f>IF(Table2_2[[#This Row],[User_Rating]]&lt;4.164816,"Outlier","Normal")</f>
        <v>Normal</v>
      </c>
      <c r="E342">
        <v>11813</v>
      </c>
      <c r="F342" t="str">
        <f>IF(Table2_2[[#This Row],[Reviews]]&gt;$N$13,"Outlier"," Normal")</f>
        <v xml:space="preserve"> Normal</v>
      </c>
      <c r="G342">
        <v>10</v>
      </c>
      <c r="H342" t="str">
        <f>IF(Table2_2[[#This Row],[Price]]&gt;$N$20,"Outlier","Normal")</f>
        <v>Normal</v>
      </c>
      <c r="I342">
        <v>2010</v>
      </c>
      <c r="J342" t="str">
        <f>IF(Table2_2[[#This Row],[Year]]&gt;=2015,"Newer","Older")</f>
        <v>Older</v>
      </c>
      <c r="K342" s="1" t="s">
        <v>11</v>
      </c>
    </row>
    <row r="343" spans="1:11" x14ac:dyDescent="0.35">
      <c r="A343" s="1" t="s">
        <v>394</v>
      </c>
      <c r="B343" s="1" t="s">
        <v>395</v>
      </c>
      <c r="C343">
        <v>4.7</v>
      </c>
      <c r="D343" t="str">
        <f>IF(Table2_2[[#This Row],[User_Rating]]&lt;4.164816,"Outlier","Normal")</f>
        <v>Normal</v>
      </c>
      <c r="E343">
        <v>11813</v>
      </c>
      <c r="F343" t="str">
        <f>IF(Table2_2[[#This Row],[Reviews]]&gt;$N$13,"Outlier"," Normal")</f>
        <v xml:space="preserve"> Normal</v>
      </c>
      <c r="G343">
        <v>10</v>
      </c>
      <c r="H343" t="str">
        <f>IF(Table2_2[[#This Row],[Price]]&gt;$N$20,"Outlier","Normal")</f>
        <v>Normal</v>
      </c>
      <c r="I343">
        <v>2011</v>
      </c>
      <c r="J343" t="str">
        <f>IF(Table2_2[[#This Row],[Year]]&gt;=2015,"Newer","Older")</f>
        <v>Older</v>
      </c>
      <c r="K343" s="1" t="s">
        <v>11</v>
      </c>
    </row>
    <row r="344" spans="1:11" x14ac:dyDescent="0.35">
      <c r="A344" s="1" t="s">
        <v>396</v>
      </c>
      <c r="B344" s="1" t="s">
        <v>397</v>
      </c>
      <c r="C344">
        <v>4.7</v>
      </c>
      <c r="D344" t="str">
        <f>IF(Table2_2[[#This Row],[User_Rating]]&lt;4.164816,"Outlier","Normal")</f>
        <v>Normal</v>
      </c>
      <c r="E344">
        <v>3536</v>
      </c>
      <c r="F344" t="str">
        <f>IF(Table2_2[[#This Row],[Reviews]]&gt;$N$13,"Outlier"," Normal")</f>
        <v xml:space="preserve"> Normal</v>
      </c>
      <c r="G344">
        <v>17</v>
      </c>
      <c r="H344" t="str">
        <f>IF(Table2_2[[#This Row],[Price]]&gt;$N$20,"Outlier","Normal")</f>
        <v>Normal</v>
      </c>
      <c r="I344">
        <v>2010</v>
      </c>
      <c r="J344" t="str">
        <f>IF(Table2_2[[#This Row],[Year]]&gt;=2015,"Newer","Older")</f>
        <v>Older</v>
      </c>
      <c r="K344" s="1" t="s">
        <v>8</v>
      </c>
    </row>
    <row r="345" spans="1:11" x14ac:dyDescent="0.35">
      <c r="A345" s="1" t="s">
        <v>398</v>
      </c>
      <c r="B345" s="1" t="s">
        <v>332</v>
      </c>
      <c r="C345">
        <v>4.8</v>
      </c>
      <c r="D345" t="str">
        <f>IF(Table2_2[[#This Row],[User_Rating]]&lt;4.164816,"Outlier","Normal")</f>
        <v>Normal</v>
      </c>
      <c r="E345">
        <v>6600</v>
      </c>
      <c r="F345" t="str">
        <f>IF(Table2_2[[#This Row],[Reviews]]&gt;$N$13,"Outlier"," Normal")</f>
        <v xml:space="preserve"> Normal</v>
      </c>
      <c r="G345">
        <v>11</v>
      </c>
      <c r="H345" t="str">
        <f>IF(Table2_2[[#This Row],[Price]]&gt;$N$20,"Outlier","Normal")</f>
        <v>Normal</v>
      </c>
      <c r="I345">
        <v>2014</v>
      </c>
      <c r="J345" t="str">
        <f>IF(Table2_2[[#This Row],[Year]]&gt;=2015,"Newer","Older")</f>
        <v>Older</v>
      </c>
      <c r="K345" s="1" t="s">
        <v>11</v>
      </c>
    </row>
    <row r="346" spans="1:11" x14ac:dyDescent="0.35">
      <c r="A346" s="1" t="s">
        <v>399</v>
      </c>
      <c r="B346" s="1" t="s">
        <v>400</v>
      </c>
      <c r="C346">
        <v>4.2</v>
      </c>
      <c r="D346" t="str">
        <f>IF(Table2_2[[#This Row],[User_Rating]]&lt;4.164816,"Outlier","Normal")</f>
        <v>Normal</v>
      </c>
      <c r="E346">
        <v>1789</v>
      </c>
      <c r="F346" t="str">
        <f>IF(Table2_2[[#This Row],[Reviews]]&gt;$N$13,"Outlier"," Normal")</f>
        <v xml:space="preserve"> Normal</v>
      </c>
      <c r="G346">
        <v>14</v>
      </c>
      <c r="H346" t="str">
        <f>IF(Table2_2[[#This Row],[Price]]&gt;$N$20,"Outlier","Normal")</f>
        <v>Normal</v>
      </c>
      <c r="I346">
        <v>2012</v>
      </c>
      <c r="J346" t="str">
        <f>IF(Table2_2[[#This Row],[Year]]&gt;=2015,"Newer","Older")</f>
        <v>Older</v>
      </c>
      <c r="K346" s="1" t="s">
        <v>8</v>
      </c>
    </row>
    <row r="347" spans="1:11" x14ac:dyDescent="0.35">
      <c r="A347" s="1" t="s">
        <v>401</v>
      </c>
      <c r="B347" s="1" t="s">
        <v>402</v>
      </c>
      <c r="C347">
        <v>4.8</v>
      </c>
      <c r="D347" t="str">
        <f>IF(Table2_2[[#This Row],[User_Rating]]&lt;4.164816,"Outlier","Normal")</f>
        <v>Normal</v>
      </c>
      <c r="E347">
        <v>12361</v>
      </c>
      <c r="F347" t="str">
        <f>IF(Table2_2[[#This Row],[Reviews]]&gt;$N$13,"Outlier"," Normal")</f>
        <v xml:space="preserve"> Normal</v>
      </c>
      <c r="G347">
        <v>12</v>
      </c>
      <c r="H347" t="str">
        <f>IF(Table2_2[[#This Row],[Price]]&gt;$N$20,"Outlier","Normal")</f>
        <v>Normal</v>
      </c>
      <c r="I347">
        <v>2019</v>
      </c>
      <c r="J347" t="str">
        <f>IF(Table2_2[[#This Row],[Year]]&gt;=2015,"Newer","Older")</f>
        <v>Newer</v>
      </c>
      <c r="K347" s="1" t="s">
        <v>8</v>
      </c>
    </row>
    <row r="348" spans="1:11" x14ac:dyDescent="0.35">
      <c r="A348" s="1" t="s">
        <v>403</v>
      </c>
      <c r="B348" s="1" t="s">
        <v>404</v>
      </c>
      <c r="C348">
        <v>4.7</v>
      </c>
      <c r="D348" t="str">
        <f>IF(Table2_2[[#This Row],[User_Rating]]&lt;4.164816,"Outlier","Normal")</f>
        <v>Normal</v>
      </c>
      <c r="E348">
        <v>858</v>
      </c>
      <c r="F348" t="str">
        <f>IF(Table2_2[[#This Row],[Reviews]]&gt;$N$13,"Outlier"," Normal")</f>
        <v xml:space="preserve"> Normal</v>
      </c>
      <c r="G348">
        <v>53</v>
      </c>
      <c r="H348" t="str">
        <f>IF(Table2_2[[#This Row],[Price]]&gt;$N$20,"Outlier","Normal")</f>
        <v>Outlier</v>
      </c>
      <c r="I348">
        <v>2009</v>
      </c>
      <c r="J348" t="str">
        <f>IF(Table2_2[[#This Row],[Year]]&gt;=2015,"Newer","Older")</f>
        <v>Older</v>
      </c>
      <c r="K348" s="1" t="s">
        <v>8</v>
      </c>
    </row>
    <row r="349" spans="1:11" x14ac:dyDescent="0.35">
      <c r="A349" s="1" t="s">
        <v>405</v>
      </c>
      <c r="B349" s="1" t="s">
        <v>406</v>
      </c>
      <c r="C349">
        <v>4.5999999999999996</v>
      </c>
      <c r="D349" t="str">
        <f>IF(Table2_2[[#This Row],[User_Rating]]&lt;4.164816,"Outlier","Normal")</f>
        <v>Normal</v>
      </c>
      <c r="E349">
        <v>23148</v>
      </c>
      <c r="F349" t="str">
        <f>IF(Table2_2[[#This Row],[Reviews]]&gt;$N$13,"Outlier"," Normal")</f>
        <v xml:space="preserve"> Normal</v>
      </c>
      <c r="G349">
        <v>6</v>
      </c>
      <c r="H349" t="str">
        <f>IF(Table2_2[[#This Row],[Price]]&gt;$N$20,"Outlier","Normal")</f>
        <v>Normal</v>
      </c>
      <c r="I349">
        <v>2013</v>
      </c>
      <c r="J349" t="str">
        <f>IF(Table2_2[[#This Row],[Year]]&gt;=2015,"Newer","Older")</f>
        <v>Older</v>
      </c>
      <c r="K349" s="1" t="s">
        <v>11</v>
      </c>
    </row>
    <row r="350" spans="1:11" x14ac:dyDescent="0.35">
      <c r="A350" s="1" t="s">
        <v>405</v>
      </c>
      <c r="B350" s="1" t="s">
        <v>406</v>
      </c>
      <c r="C350">
        <v>4.5999999999999996</v>
      </c>
      <c r="D350" t="str">
        <f>IF(Table2_2[[#This Row],[User_Rating]]&lt;4.164816,"Outlier","Normal")</f>
        <v>Normal</v>
      </c>
      <c r="E350">
        <v>23148</v>
      </c>
      <c r="F350" t="str">
        <f>IF(Table2_2[[#This Row],[Reviews]]&gt;$N$13,"Outlier"," Normal")</f>
        <v xml:space="preserve"> Normal</v>
      </c>
      <c r="G350">
        <v>6</v>
      </c>
      <c r="H350" t="str">
        <f>IF(Table2_2[[#This Row],[Price]]&gt;$N$20,"Outlier","Normal")</f>
        <v>Normal</v>
      </c>
      <c r="I350">
        <v>2014</v>
      </c>
      <c r="J350" t="str">
        <f>IF(Table2_2[[#This Row],[Year]]&gt;=2015,"Newer","Older")</f>
        <v>Older</v>
      </c>
      <c r="K350" s="1" t="s">
        <v>11</v>
      </c>
    </row>
    <row r="351" spans="1:11" x14ac:dyDescent="0.35">
      <c r="A351" s="1" t="s">
        <v>407</v>
      </c>
      <c r="B351" s="1" t="s">
        <v>408</v>
      </c>
      <c r="C351">
        <v>4.8</v>
      </c>
      <c r="D351" t="str">
        <f>IF(Table2_2[[#This Row],[User_Rating]]&lt;4.164816,"Outlier","Normal")</f>
        <v>Normal</v>
      </c>
      <c r="E351">
        <v>8081</v>
      </c>
      <c r="F351" t="str">
        <f>IF(Table2_2[[#This Row],[Reviews]]&gt;$N$13,"Outlier"," Normal")</f>
        <v xml:space="preserve"> Normal</v>
      </c>
      <c r="G351">
        <v>8</v>
      </c>
      <c r="H351" t="str">
        <f>IF(Table2_2[[#This Row],[Price]]&gt;$N$20,"Outlier","Normal")</f>
        <v>Normal</v>
      </c>
      <c r="I351">
        <v>2014</v>
      </c>
      <c r="J351" t="str">
        <f>IF(Table2_2[[#This Row],[Year]]&gt;=2015,"Newer","Older")</f>
        <v>Older</v>
      </c>
      <c r="K351" s="1" t="s">
        <v>11</v>
      </c>
    </row>
    <row r="352" spans="1:11" x14ac:dyDescent="0.35">
      <c r="A352" s="1" t="s">
        <v>407</v>
      </c>
      <c r="B352" s="1" t="s">
        <v>408</v>
      </c>
      <c r="C352">
        <v>4.8</v>
      </c>
      <c r="D352" t="str">
        <f>IF(Table2_2[[#This Row],[User_Rating]]&lt;4.164816,"Outlier","Normal")</f>
        <v>Normal</v>
      </c>
      <c r="E352">
        <v>8081</v>
      </c>
      <c r="F352" t="str">
        <f>IF(Table2_2[[#This Row],[Reviews]]&gt;$N$13,"Outlier"," Normal")</f>
        <v xml:space="preserve"> Normal</v>
      </c>
      <c r="G352">
        <v>8</v>
      </c>
      <c r="H352" t="str">
        <f>IF(Table2_2[[#This Row],[Price]]&gt;$N$20,"Outlier","Normal")</f>
        <v>Normal</v>
      </c>
      <c r="I352">
        <v>2015</v>
      </c>
      <c r="J352" t="str">
        <f>IF(Table2_2[[#This Row],[Year]]&gt;=2015,"Newer","Older")</f>
        <v>Newer</v>
      </c>
      <c r="K352" s="1" t="s">
        <v>11</v>
      </c>
    </row>
    <row r="353" spans="1:11" x14ac:dyDescent="0.35">
      <c r="A353" s="1" t="s">
        <v>409</v>
      </c>
      <c r="B353" s="1" t="s">
        <v>410</v>
      </c>
      <c r="C353">
        <v>4.8</v>
      </c>
      <c r="D353" t="str">
        <f>IF(Table2_2[[#This Row],[User_Rating]]&lt;4.164816,"Outlier","Normal")</f>
        <v>Normal</v>
      </c>
      <c r="E353">
        <v>23358</v>
      </c>
      <c r="F353" t="str">
        <f>IF(Table2_2[[#This Row],[Reviews]]&gt;$N$13,"Outlier"," Normal")</f>
        <v xml:space="preserve"> Normal</v>
      </c>
      <c r="G353">
        <v>12</v>
      </c>
      <c r="H353" t="str">
        <f>IF(Table2_2[[#This Row],[Price]]&gt;$N$20,"Outlier","Normal")</f>
        <v>Normal</v>
      </c>
      <c r="I353">
        <v>2014</v>
      </c>
      <c r="J353" t="str">
        <f>IF(Table2_2[[#This Row],[Year]]&gt;=2015,"Newer","Older")</f>
        <v>Older</v>
      </c>
      <c r="K353" s="1" t="s">
        <v>8</v>
      </c>
    </row>
    <row r="354" spans="1:11" x14ac:dyDescent="0.35">
      <c r="A354" s="1" t="s">
        <v>409</v>
      </c>
      <c r="B354" s="1" t="s">
        <v>410</v>
      </c>
      <c r="C354">
        <v>4.8</v>
      </c>
      <c r="D354" t="str">
        <f>IF(Table2_2[[#This Row],[User_Rating]]&lt;4.164816,"Outlier","Normal")</f>
        <v>Normal</v>
      </c>
      <c r="E354">
        <v>23358</v>
      </c>
      <c r="F354" t="str">
        <f>IF(Table2_2[[#This Row],[Reviews]]&gt;$N$13,"Outlier"," Normal")</f>
        <v xml:space="preserve"> Normal</v>
      </c>
      <c r="G354">
        <v>12</v>
      </c>
      <c r="H354" t="str">
        <f>IF(Table2_2[[#This Row],[Price]]&gt;$N$20,"Outlier","Normal")</f>
        <v>Normal</v>
      </c>
      <c r="I354">
        <v>2015</v>
      </c>
      <c r="J354" t="str">
        <f>IF(Table2_2[[#This Row],[Year]]&gt;=2015,"Newer","Older")</f>
        <v>Newer</v>
      </c>
      <c r="K354" s="1" t="s">
        <v>8</v>
      </c>
    </row>
    <row r="355" spans="1:11" x14ac:dyDescent="0.35">
      <c r="A355" s="1" t="s">
        <v>411</v>
      </c>
      <c r="B355" s="1" t="s">
        <v>152</v>
      </c>
      <c r="C355">
        <v>3.3</v>
      </c>
      <c r="D355" t="str">
        <f>IF(Table2_2[[#This Row],[User_Rating]]&lt;4.164816,"Outlier","Normal")</f>
        <v>Outlier</v>
      </c>
      <c r="E355">
        <v>9372</v>
      </c>
      <c r="F355" t="str">
        <f>IF(Table2_2[[#This Row],[Reviews]]&gt;$N$13,"Outlier"," Normal")</f>
        <v xml:space="preserve"> Normal</v>
      </c>
      <c r="G355">
        <v>12</v>
      </c>
      <c r="H355" t="str">
        <f>IF(Table2_2[[#This Row],[Price]]&gt;$N$20,"Outlier","Normal")</f>
        <v>Normal</v>
      </c>
      <c r="I355">
        <v>2012</v>
      </c>
      <c r="J355" t="str">
        <f>IF(Table2_2[[#This Row],[Year]]&gt;=2015,"Newer","Older")</f>
        <v>Older</v>
      </c>
      <c r="K355" s="1" t="s">
        <v>11</v>
      </c>
    </row>
    <row r="356" spans="1:11" x14ac:dyDescent="0.35">
      <c r="A356" s="1" t="s">
        <v>412</v>
      </c>
      <c r="B356" s="1" t="s">
        <v>413</v>
      </c>
      <c r="C356">
        <v>4.7</v>
      </c>
      <c r="D356" t="str">
        <f>IF(Table2_2[[#This Row],[User_Rating]]&lt;4.164816,"Outlier","Normal")</f>
        <v>Normal</v>
      </c>
      <c r="E356">
        <v>4633</v>
      </c>
      <c r="F356" t="str">
        <f>IF(Table2_2[[#This Row],[Reviews]]&gt;$N$13,"Outlier"," Normal")</f>
        <v xml:space="preserve"> Normal</v>
      </c>
      <c r="G356">
        <v>21</v>
      </c>
      <c r="H356" t="str">
        <f>IF(Table2_2[[#This Row],[Price]]&gt;$N$20,"Outlier","Normal")</f>
        <v>Normal</v>
      </c>
      <c r="I356">
        <v>2011</v>
      </c>
      <c r="J356" t="str">
        <f>IF(Table2_2[[#This Row],[Year]]&gt;=2015,"Newer","Older")</f>
        <v>Older</v>
      </c>
      <c r="K356" s="1" t="s">
        <v>8</v>
      </c>
    </row>
    <row r="357" spans="1:11" x14ac:dyDescent="0.35">
      <c r="A357" s="1" t="s">
        <v>414</v>
      </c>
      <c r="B357" s="1" t="s">
        <v>415</v>
      </c>
      <c r="C357">
        <v>4.3</v>
      </c>
      <c r="D357" t="str">
        <f>IF(Table2_2[[#This Row],[User_Rating]]&lt;4.164816,"Outlier","Normal")</f>
        <v>Normal</v>
      </c>
      <c r="E357">
        <v>13061</v>
      </c>
      <c r="F357" t="str">
        <f>IF(Table2_2[[#This Row],[Reviews]]&gt;$N$13,"Outlier"," Normal")</f>
        <v xml:space="preserve"> Normal</v>
      </c>
      <c r="G357">
        <v>6</v>
      </c>
      <c r="H357" t="str">
        <f>IF(Table2_2[[#This Row],[Price]]&gt;$N$20,"Outlier","Normal")</f>
        <v>Normal</v>
      </c>
      <c r="I357">
        <v>2018</v>
      </c>
      <c r="J357" t="str">
        <f>IF(Table2_2[[#This Row],[Year]]&gt;=2015,"Newer","Older")</f>
        <v>Newer</v>
      </c>
      <c r="K357" s="1" t="s">
        <v>8</v>
      </c>
    </row>
    <row r="358" spans="1:11" x14ac:dyDescent="0.35">
      <c r="A358" s="1" t="s">
        <v>414</v>
      </c>
      <c r="B358" s="1" t="s">
        <v>415</v>
      </c>
      <c r="C358">
        <v>4.3</v>
      </c>
      <c r="D358" t="str">
        <f>IF(Table2_2[[#This Row],[User_Rating]]&lt;4.164816,"Outlier","Normal")</f>
        <v>Normal</v>
      </c>
      <c r="E358">
        <v>13061</v>
      </c>
      <c r="F358" t="str">
        <f>IF(Table2_2[[#This Row],[Reviews]]&gt;$N$13,"Outlier"," Normal")</f>
        <v xml:space="preserve"> Normal</v>
      </c>
      <c r="G358">
        <v>6</v>
      </c>
      <c r="H358" t="str">
        <f>IF(Table2_2[[#This Row],[Price]]&gt;$N$20,"Outlier","Normal")</f>
        <v>Normal</v>
      </c>
      <c r="I358">
        <v>2019</v>
      </c>
      <c r="J358" t="str">
        <f>IF(Table2_2[[#This Row],[Year]]&gt;=2015,"Newer","Older")</f>
        <v>Newer</v>
      </c>
      <c r="K358" s="1" t="s">
        <v>8</v>
      </c>
    </row>
    <row r="359" spans="1:11" x14ac:dyDescent="0.35">
      <c r="A359" s="1" t="s">
        <v>416</v>
      </c>
      <c r="B359" s="1" t="s">
        <v>376</v>
      </c>
      <c r="C359">
        <v>4.3</v>
      </c>
      <c r="D359" t="str">
        <f>IF(Table2_2[[#This Row],[User_Rating]]&lt;4.164816,"Outlier","Normal")</f>
        <v>Normal</v>
      </c>
      <c r="E359">
        <v>3523</v>
      </c>
      <c r="F359" t="str">
        <f>IF(Table2_2[[#This Row],[Reviews]]&gt;$N$13,"Outlier"," Normal")</f>
        <v xml:space="preserve"> Normal</v>
      </c>
      <c r="G359">
        <v>13</v>
      </c>
      <c r="H359" t="str">
        <f>IF(Table2_2[[#This Row],[Price]]&gt;$N$20,"Outlier","Normal")</f>
        <v>Normal</v>
      </c>
      <c r="I359">
        <v>2010</v>
      </c>
      <c r="J359" t="str">
        <f>IF(Table2_2[[#This Row],[Year]]&gt;=2015,"Newer","Older")</f>
        <v>Older</v>
      </c>
      <c r="K359" s="1" t="s">
        <v>11</v>
      </c>
    </row>
    <row r="360" spans="1:11" x14ac:dyDescent="0.35">
      <c r="A360" s="1" t="s">
        <v>417</v>
      </c>
      <c r="B360" s="1" t="s">
        <v>418</v>
      </c>
      <c r="C360">
        <v>4.8</v>
      </c>
      <c r="D360" t="str">
        <f>IF(Table2_2[[#This Row],[User_Rating]]&lt;4.164816,"Outlier","Normal")</f>
        <v>Normal</v>
      </c>
      <c r="E360">
        <v>2774</v>
      </c>
      <c r="F360" t="str">
        <f>IF(Table2_2[[#This Row],[Reviews]]&gt;$N$13,"Outlier"," Normal")</f>
        <v xml:space="preserve"> Normal</v>
      </c>
      <c r="G360">
        <v>0</v>
      </c>
      <c r="H360" t="str">
        <f>IF(Table2_2[[#This Row],[Price]]&gt;$N$20,"Outlier","Normal")</f>
        <v>Normal</v>
      </c>
      <c r="I360">
        <v>2016</v>
      </c>
      <c r="J360" t="str">
        <f>IF(Table2_2[[#This Row],[Year]]&gt;=2015,"Newer","Older")</f>
        <v>Newer</v>
      </c>
      <c r="K360" s="1" t="s">
        <v>8</v>
      </c>
    </row>
    <row r="361" spans="1:11" x14ac:dyDescent="0.35">
      <c r="A361" s="1" t="s">
        <v>419</v>
      </c>
      <c r="B361" s="1" t="s">
        <v>420</v>
      </c>
      <c r="C361">
        <v>4.4000000000000004</v>
      </c>
      <c r="D361" t="str">
        <f>IF(Table2_2[[#This Row],[User_Rating]]&lt;4.164816,"Outlier","Normal")</f>
        <v>Normal</v>
      </c>
      <c r="E361">
        <v>440</v>
      </c>
      <c r="F361" t="str">
        <f>IF(Table2_2[[#This Row],[Reviews]]&gt;$N$13,"Outlier"," Normal")</f>
        <v xml:space="preserve"> Normal</v>
      </c>
      <c r="G361">
        <v>11</v>
      </c>
      <c r="H361" t="str">
        <f>IF(Table2_2[[#This Row],[Price]]&gt;$N$20,"Outlier","Normal")</f>
        <v>Normal</v>
      </c>
      <c r="I361">
        <v>2010</v>
      </c>
      <c r="J361" t="str">
        <f>IF(Table2_2[[#This Row],[Year]]&gt;=2015,"Newer","Older")</f>
        <v>Older</v>
      </c>
      <c r="K361" s="1" t="s">
        <v>8</v>
      </c>
    </row>
    <row r="362" spans="1:11" x14ac:dyDescent="0.35">
      <c r="A362" s="1" t="s">
        <v>421</v>
      </c>
      <c r="B362" s="1" t="s">
        <v>422</v>
      </c>
      <c r="C362">
        <v>4.8</v>
      </c>
      <c r="D362" t="str">
        <f>IF(Table2_2[[#This Row],[User_Rating]]&lt;4.164816,"Outlier","Normal")</f>
        <v>Normal</v>
      </c>
      <c r="E362">
        <v>8922</v>
      </c>
      <c r="F362" t="str">
        <f>IF(Table2_2[[#This Row],[Reviews]]&gt;$N$13,"Outlier"," Normal")</f>
        <v xml:space="preserve"> Normal</v>
      </c>
      <c r="G362">
        <v>9</v>
      </c>
      <c r="H362" t="str">
        <f>IF(Table2_2[[#This Row],[Price]]&gt;$N$20,"Outlier","Normal")</f>
        <v>Normal</v>
      </c>
      <c r="I362">
        <v>2013</v>
      </c>
      <c r="J362" t="str">
        <f>IF(Table2_2[[#This Row],[Year]]&gt;=2015,"Newer","Older")</f>
        <v>Older</v>
      </c>
      <c r="K362" s="1" t="s">
        <v>11</v>
      </c>
    </row>
    <row r="363" spans="1:11" x14ac:dyDescent="0.35">
      <c r="A363" s="1" t="s">
        <v>421</v>
      </c>
      <c r="B363" s="1" t="s">
        <v>422</v>
      </c>
      <c r="C363">
        <v>4.8</v>
      </c>
      <c r="D363" t="str">
        <f>IF(Table2_2[[#This Row],[User_Rating]]&lt;4.164816,"Outlier","Normal")</f>
        <v>Normal</v>
      </c>
      <c r="E363">
        <v>8922</v>
      </c>
      <c r="F363" t="str">
        <f>IF(Table2_2[[#This Row],[Reviews]]&gt;$N$13,"Outlier"," Normal")</f>
        <v xml:space="preserve"> Normal</v>
      </c>
      <c r="G363">
        <v>9</v>
      </c>
      <c r="H363" t="str">
        <f>IF(Table2_2[[#This Row],[Price]]&gt;$N$20,"Outlier","Normal")</f>
        <v>Normal</v>
      </c>
      <c r="I363">
        <v>2014</v>
      </c>
      <c r="J363" t="str">
        <f>IF(Table2_2[[#This Row],[Year]]&gt;=2015,"Newer","Older")</f>
        <v>Older</v>
      </c>
      <c r="K363" s="1" t="s">
        <v>11</v>
      </c>
    </row>
    <row r="364" spans="1:11" x14ac:dyDescent="0.35">
      <c r="A364" s="1" t="s">
        <v>421</v>
      </c>
      <c r="B364" s="1" t="s">
        <v>422</v>
      </c>
      <c r="C364">
        <v>4.8</v>
      </c>
      <c r="D364" t="str">
        <f>IF(Table2_2[[#This Row],[User_Rating]]&lt;4.164816,"Outlier","Normal")</f>
        <v>Normal</v>
      </c>
      <c r="E364">
        <v>8922</v>
      </c>
      <c r="F364" t="str">
        <f>IF(Table2_2[[#This Row],[Reviews]]&gt;$N$13,"Outlier"," Normal")</f>
        <v xml:space="preserve"> Normal</v>
      </c>
      <c r="G364">
        <v>9</v>
      </c>
      <c r="H364" t="str">
        <f>IF(Table2_2[[#This Row],[Price]]&gt;$N$20,"Outlier","Normal")</f>
        <v>Normal</v>
      </c>
      <c r="I364">
        <v>2015</v>
      </c>
      <c r="J364" t="str">
        <f>IF(Table2_2[[#This Row],[Year]]&gt;=2015,"Newer","Older")</f>
        <v>Newer</v>
      </c>
      <c r="K364" s="1" t="s">
        <v>11</v>
      </c>
    </row>
    <row r="365" spans="1:11" x14ac:dyDescent="0.35">
      <c r="A365" s="1" t="s">
        <v>423</v>
      </c>
      <c r="B365" s="1" t="s">
        <v>424</v>
      </c>
      <c r="C365">
        <v>4.0999999999999996</v>
      </c>
      <c r="D365" t="str">
        <f>IF(Table2_2[[#This Row],[User_Rating]]&lt;4.164816,"Outlier","Normal")</f>
        <v>Outlier</v>
      </c>
      <c r="E365">
        <v>2023</v>
      </c>
      <c r="F365" t="str">
        <f>IF(Table2_2[[#This Row],[Reviews]]&gt;$N$13,"Outlier"," Normal")</f>
        <v xml:space="preserve"> Normal</v>
      </c>
      <c r="G365">
        <v>15</v>
      </c>
      <c r="H365" t="str">
        <f>IF(Table2_2[[#This Row],[Price]]&gt;$N$20,"Outlier","Normal")</f>
        <v>Normal</v>
      </c>
      <c r="I365">
        <v>2011</v>
      </c>
      <c r="J365" t="str">
        <f>IF(Table2_2[[#This Row],[Year]]&gt;=2015,"Newer","Older")</f>
        <v>Older</v>
      </c>
      <c r="K365" s="1" t="s">
        <v>8</v>
      </c>
    </row>
    <row r="366" spans="1:11" x14ac:dyDescent="0.35">
      <c r="A366" s="1" t="s">
        <v>425</v>
      </c>
      <c r="B366" s="1" t="s">
        <v>426</v>
      </c>
      <c r="C366">
        <v>4</v>
      </c>
      <c r="D366" t="str">
        <f>IF(Table2_2[[#This Row],[User_Rating]]&lt;4.164816,"Outlier","Normal")</f>
        <v>Outlier</v>
      </c>
      <c r="E366">
        <v>1859</v>
      </c>
      <c r="F366" t="str">
        <f>IF(Table2_2[[#This Row],[Reviews]]&gt;$N$13,"Outlier"," Normal")</f>
        <v xml:space="preserve"> Normal</v>
      </c>
      <c r="G366">
        <v>11</v>
      </c>
      <c r="H366" t="str">
        <f>IF(Table2_2[[#This Row],[Price]]&gt;$N$20,"Outlier","Normal")</f>
        <v>Normal</v>
      </c>
      <c r="I366">
        <v>2009</v>
      </c>
      <c r="J366" t="str">
        <f>IF(Table2_2[[#This Row],[Year]]&gt;=2015,"Newer","Older")</f>
        <v>Older</v>
      </c>
      <c r="K366" s="1" t="s">
        <v>11</v>
      </c>
    </row>
    <row r="367" spans="1:11" x14ac:dyDescent="0.35">
      <c r="A367" s="1" t="s">
        <v>427</v>
      </c>
      <c r="B367" s="1" t="s">
        <v>288</v>
      </c>
      <c r="C367">
        <v>4.7</v>
      </c>
      <c r="D367" t="str">
        <f>IF(Table2_2[[#This Row],[User_Rating]]&lt;4.164816,"Outlier","Normal")</f>
        <v>Normal</v>
      </c>
      <c r="E367">
        <v>50482</v>
      </c>
      <c r="F367" t="str">
        <f>IF(Table2_2[[#This Row],[Reviews]]&gt;$N$13,"Outlier"," Normal")</f>
        <v>Outlier</v>
      </c>
      <c r="G367">
        <v>13</v>
      </c>
      <c r="H367" t="str">
        <f>IF(Table2_2[[#This Row],[Price]]&gt;$N$20,"Outlier","Normal")</f>
        <v>Normal</v>
      </c>
      <c r="I367">
        <v>2012</v>
      </c>
      <c r="J367" t="str">
        <f>IF(Table2_2[[#This Row],[Year]]&gt;=2015,"Newer","Older")</f>
        <v>Older</v>
      </c>
      <c r="K367" s="1" t="s">
        <v>11</v>
      </c>
    </row>
    <row r="368" spans="1:11" x14ac:dyDescent="0.35">
      <c r="A368" s="1" t="s">
        <v>427</v>
      </c>
      <c r="B368" s="1" t="s">
        <v>288</v>
      </c>
      <c r="C368">
        <v>4.7</v>
      </c>
      <c r="D368" t="str">
        <f>IF(Table2_2[[#This Row],[User_Rating]]&lt;4.164816,"Outlier","Normal")</f>
        <v>Normal</v>
      </c>
      <c r="E368">
        <v>50482</v>
      </c>
      <c r="F368" t="str">
        <f>IF(Table2_2[[#This Row],[Reviews]]&gt;$N$13,"Outlier"," Normal")</f>
        <v>Outlier</v>
      </c>
      <c r="G368">
        <v>13</v>
      </c>
      <c r="H368" t="str">
        <f>IF(Table2_2[[#This Row],[Price]]&gt;$N$20,"Outlier","Normal")</f>
        <v>Normal</v>
      </c>
      <c r="I368">
        <v>2013</v>
      </c>
      <c r="J368" t="str">
        <f>IF(Table2_2[[#This Row],[Year]]&gt;=2015,"Newer","Older")</f>
        <v>Older</v>
      </c>
      <c r="K368" s="1" t="s">
        <v>11</v>
      </c>
    </row>
    <row r="369" spans="1:11" x14ac:dyDescent="0.35">
      <c r="A369" s="1" t="s">
        <v>427</v>
      </c>
      <c r="B369" s="1" t="s">
        <v>288</v>
      </c>
      <c r="C369">
        <v>4.7</v>
      </c>
      <c r="D369" t="str">
        <f>IF(Table2_2[[#This Row],[User_Rating]]&lt;4.164816,"Outlier","Normal")</f>
        <v>Normal</v>
      </c>
      <c r="E369">
        <v>50482</v>
      </c>
      <c r="F369" t="str">
        <f>IF(Table2_2[[#This Row],[Reviews]]&gt;$N$13,"Outlier"," Normal")</f>
        <v>Outlier</v>
      </c>
      <c r="G369">
        <v>7</v>
      </c>
      <c r="H369" t="str">
        <f>IF(Table2_2[[#This Row],[Price]]&gt;$N$20,"Outlier","Normal")</f>
        <v>Normal</v>
      </c>
      <c r="I369">
        <v>2014</v>
      </c>
      <c r="J369" t="str">
        <f>IF(Table2_2[[#This Row],[Year]]&gt;=2015,"Newer","Older")</f>
        <v>Older</v>
      </c>
      <c r="K369" s="1" t="s">
        <v>11</v>
      </c>
    </row>
    <row r="370" spans="1:11" x14ac:dyDescent="0.35">
      <c r="A370" s="1" t="s">
        <v>427</v>
      </c>
      <c r="B370" s="1" t="s">
        <v>288</v>
      </c>
      <c r="C370">
        <v>4.7</v>
      </c>
      <c r="D370" t="str">
        <f>IF(Table2_2[[#This Row],[User_Rating]]&lt;4.164816,"Outlier","Normal")</f>
        <v>Normal</v>
      </c>
      <c r="E370">
        <v>50482</v>
      </c>
      <c r="F370" t="str">
        <f>IF(Table2_2[[#This Row],[Reviews]]&gt;$N$13,"Outlier"," Normal")</f>
        <v>Outlier</v>
      </c>
      <c r="G370">
        <v>13</v>
      </c>
      <c r="H370" t="str">
        <f>IF(Table2_2[[#This Row],[Price]]&gt;$N$20,"Outlier","Normal")</f>
        <v>Normal</v>
      </c>
      <c r="I370">
        <v>2014</v>
      </c>
      <c r="J370" t="str">
        <f>IF(Table2_2[[#This Row],[Year]]&gt;=2015,"Newer","Older")</f>
        <v>Older</v>
      </c>
      <c r="K370" s="1" t="s">
        <v>11</v>
      </c>
    </row>
    <row r="371" spans="1:11" x14ac:dyDescent="0.35">
      <c r="A371" s="1" t="s">
        <v>428</v>
      </c>
      <c r="B371" s="1" t="s">
        <v>429</v>
      </c>
      <c r="C371">
        <v>4.5999999999999996</v>
      </c>
      <c r="D371" t="str">
        <f>IF(Table2_2[[#This Row],[User_Rating]]&lt;4.164816,"Outlier","Normal")</f>
        <v>Normal</v>
      </c>
      <c r="E371">
        <v>3207</v>
      </c>
      <c r="F371" t="str">
        <f>IF(Table2_2[[#This Row],[Reviews]]&gt;$N$13,"Outlier"," Normal")</f>
        <v xml:space="preserve"> Normal</v>
      </c>
      <c r="G371">
        <v>6</v>
      </c>
      <c r="H371" t="str">
        <f>IF(Table2_2[[#This Row],[Price]]&gt;$N$20,"Outlier","Normal")</f>
        <v>Normal</v>
      </c>
      <c r="I371">
        <v>2009</v>
      </c>
      <c r="J371" t="str">
        <f>IF(Table2_2[[#This Row],[Year]]&gt;=2015,"Newer","Older")</f>
        <v>Older</v>
      </c>
      <c r="K371" s="1" t="s">
        <v>8</v>
      </c>
    </row>
    <row r="372" spans="1:11" x14ac:dyDescent="0.35">
      <c r="A372" s="1" t="s">
        <v>428</v>
      </c>
      <c r="B372" s="1" t="s">
        <v>429</v>
      </c>
      <c r="C372">
        <v>4.5999999999999996</v>
      </c>
      <c r="D372" t="str">
        <f>IF(Table2_2[[#This Row],[User_Rating]]&lt;4.164816,"Outlier","Normal")</f>
        <v>Normal</v>
      </c>
      <c r="E372">
        <v>3207</v>
      </c>
      <c r="F372" t="str">
        <f>IF(Table2_2[[#This Row],[Reviews]]&gt;$N$13,"Outlier"," Normal")</f>
        <v xml:space="preserve"> Normal</v>
      </c>
      <c r="G372">
        <v>6</v>
      </c>
      <c r="H372" t="str">
        <f>IF(Table2_2[[#This Row],[Price]]&gt;$N$20,"Outlier","Normal")</f>
        <v>Normal</v>
      </c>
      <c r="I372">
        <v>2010</v>
      </c>
      <c r="J372" t="str">
        <f>IF(Table2_2[[#This Row],[Year]]&gt;=2015,"Newer","Older")</f>
        <v>Older</v>
      </c>
      <c r="K372" s="1" t="s">
        <v>8</v>
      </c>
    </row>
    <row r="373" spans="1:11" x14ac:dyDescent="0.35">
      <c r="A373" s="1" t="s">
        <v>428</v>
      </c>
      <c r="B373" s="1" t="s">
        <v>429</v>
      </c>
      <c r="C373">
        <v>4.5999999999999996</v>
      </c>
      <c r="D373" t="str">
        <f>IF(Table2_2[[#This Row],[User_Rating]]&lt;4.164816,"Outlier","Normal")</f>
        <v>Normal</v>
      </c>
      <c r="E373">
        <v>3207</v>
      </c>
      <c r="F373" t="str">
        <f>IF(Table2_2[[#This Row],[Reviews]]&gt;$N$13,"Outlier"," Normal")</f>
        <v xml:space="preserve"> Normal</v>
      </c>
      <c r="G373">
        <v>6</v>
      </c>
      <c r="H373" t="str">
        <f>IF(Table2_2[[#This Row],[Price]]&gt;$N$20,"Outlier","Normal")</f>
        <v>Normal</v>
      </c>
      <c r="I373">
        <v>2011</v>
      </c>
      <c r="J373" t="str">
        <f>IF(Table2_2[[#This Row],[Year]]&gt;=2015,"Newer","Older")</f>
        <v>Older</v>
      </c>
      <c r="K373" s="1" t="s">
        <v>8</v>
      </c>
    </row>
    <row r="374" spans="1:11" x14ac:dyDescent="0.35">
      <c r="A374" s="1" t="s">
        <v>428</v>
      </c>
      <c r="B374" s="1" t="s">
        <v>429</v>
      </c>
      <c r="C374">
        <v>4.5999999999999996</v>
      </c>
      <c r="D374" t="str">
        <f>IF(Table2_2[[#This Row],[User_Rating]]&lt;4.164816,"Outlier","Normal")</f>
        <v>Normal</v>
      </c>
      <c r="E374">
        <v>3207</v>
      </c>
      <c r="F374" t="str">
        <f>IF(Table2_2[[#This Row],[Reviews]]&gt;$N$13,"Outlier"," Normal")</f>
        <v xml:space="preserve"> Normal</v>
      </c>
      <c r="G374">
        <v>6</v>
      </c>
      <c r="H374" t="str">
        <f>IF(Table2_2[[#This Row],[Price]]&gt;$N$20,"Outlier","Normal")</f>
        <v>Normal</v>
      </c>
      <c r="I374">
        <v>2012</v>
      </c>
      <c r="J374" t="str">
        <f>IF(Table2_2[[#This Row],[Year]]&gt;=2015,"Newer","Older")</f>
        <v>Older</v>
      </c>
      <c r="K374" s="1" t="s">
        <v>8</v>
      </c>
    </row>
    <row r="375" spans="1:11" x14ac:dyDescent="0.35">
      <c r="A375" s="1" t="s">
        <v>428</v>
      </c>
      <c r="B375" s="1" t="s">
        <v>429</v>
      </c>
      <c r="C375">
        <v>4.5999999999999996</v>
      </c>
      <c r="D375" t="str">
        <f>IF(Table2_2[[#This Row],[User_Rating]]&lt;4.164816,"Outlier","Normal")</f>
        <v>Normal</v>
      </c>
      <c r="E375">
        <v>3207</v>
      </c>
      <c r="F375" t="str">
        <f>IF(Table2_2[[#This Row],[Reviews]]&gt;$N$13,"Outlier"," Normal")</f>
        <v xml:space="preserve"> Normal</v>
      </c>
      <c r="G375">
        <v>6</v>
      </c>
      <c r="H375" t="str">
        <f>IF(Table2_2[[#This Row],[Price]]&gt;$N$20,"Outlier","Normal")</f>
        <v>Normal</v>
      </c>
      <c r="I375">
        <v>2013</v>
      </c>
      <c r="J375" t="str">
        <f>IF(Table2_2[[#This Row],[Year]]&gt;=2015,"Newer","Older")</f>
        <v>Older</v>
      </c>
      <c r="K375" s="1" t="s">
        <v>8</v>
      </c>
    </row>
    <row r="376" spans="1:11" x14ac:dyDescent="0.35">
      <c r="A376" s="1" t="s">
        <v>430</v>
      </c>
      <c r="B376" s="1" t="s">
        <v>384</v>
      </c>
      <c r="C376">
        <v>4.5999999999999996</v>
      </c>
      <c r="D376" t="str">
        <f>IF(Table2_2[[#This Row],[User_Rating]]&lt;4.164816,"Outlier","Normal")</f>
        <v>Normal</v>
      </c>
      <c r="E376">
        <v>803</v>
      </c>
      <c r="F376" t="str">
        <f>IF(Table2_2[[#This Row],[Reviews]]&gt;$N$13,"Outlier"," Normal")</f>
        <v xml:space="preserve"> Normal</v>
      </c>
      <c r="G376">
        <v>9</v>
      </c>
      <c r="H376" t="str">
        <f>IF(Table2_2[[#This Row],[Price]]&gt;$N$20,"Outlier","Normal")</f>
        <v>Normal</v>
      </c>
      <c r="I376">
        <v>2009</v>
      </c>
      <c r="J376" t="str">
        <f>IF(Table2_2[[#This Row],[Year]]&gt;=2015,"Newer","Older")</f>
        <v>Older</v>
      </c>
      <c r="K376" s="1" t="s">
        <v>8</v>
      </c>
    </row>
    <row r="377" spans="1:11" x14ac:dyDescent="0.35">
      <c r="A377" s="1" t="s">
        <v>431</v>
      </c>
      <c r="B377" s="1" t="s">
        <v>432</v>
      </c>
      <c r="C377">
        <v>4.7</v>
      </c>
      <c r="D377" t="str">
        <f>IF(Table2_2[[#This Row],[User_Rating]]&lt;4.164816,"Outlier","Normal")</f>
        <v>Normal</v>
      </c>
      <c r="E377">
        <v>23308</v>
      </c>
      <c r="F377" t="str">
        <f>IF(Table2_2[[#This Row],[Reviews]]&gt;$N$13,"Outlier"," Normal")</f>
        <v xml:space="preserve"> Normal</v>
      </c>
      <c r="G377">
        <v>6</v>
      </c>
      <c r="H377" t="str">
        <f>IF(Table2_2[[#This Row],[Price]]&gt;$N$20,"Outlier","Normal")</f>
        <v>Normal</v>
      </c>
      <c r="I377">
        <v>2013</v>
      </c>
      <c r="J377" t="str">
        <f>IF(Table2_2[[#This Row],[Year]]&gt;=2015,"Newer","Older")</f>
        <v>Older</v>
      </c>
      <c r="K377" s="1" t="s">
        <v>8</v>
      </c>
    </row>
    <row r="378" spans="1:11" x14ac:dyDescent="0.35">
      <c r="A378" s="1" t="s">
        <v>431</v>
      </c>
      <c r="B378" s="1" t="s">
        <v>432</v>
      </c>
      <c r="C378">
        <v>4.7</v>
      </c>
      <c r="D378" t="str">
        <f>IF(Table2_2[[#This Row],[User_Rating]]&lt;4.164816,"Outlier","Normal")</f>
        <v>Normal</v>
      </c>
      <c r="E378">
        <v>23308</v>
      </c>
      <c r="F378" t="str">
        <f>IF(Table2_2[[#This Row],[Reviews]]&gt;$N$13,"Outlier"," Normal")</f>
        <v xml:space="preserve"> Normal</v>
      </c>
      <c r="G378">
        <v>6</v>
      </c>
      <c r="H378" t="str">
        <f>IF(Table2_2[[#This Row],[Price]]&gt;$N$20,"Outlier","Normal")</f>
        <v>Normal</v>
      </c>
      <c r="I378">
        <v>2015</v>
      </c>
      <c r="J378" t="str">
        <f>IF(Table2_2[[#This Row],[Year]]&gt;=2015,"Newer","Older")</f>
        <v>Newer</v>
      </c>
      <c r="K378" s="1" t="s">
        <v>8</v>
      </c>
    </row>
    <row r="379" spans="1:11" x14ac:dyDescent="0.35">
      <c r="A379" s="1" t="s">
        <v>431</v>
      </c>
      <c r="B379" s="1" t="s">
        <v>432</v>
      </c>
      <c r="C379">
        <v>4.7</v>
      </c>
      <c r="D379" t="str">
        <f>IF(Table2_2[[#This Row],[User_Rating]]&lt;4.164816,"Outlier","Normal")</f>
        <v>Normal</v>
      </c>
      <c r="E379">
        <v>23308</v>
      </c>
      <c r="F379" t="str">
        <f>IF(Table2_2[[#This Row],[Reviews]]&gt;$N$13,"Outlier"," Normal")</f>
        <v xml:space="preserve"> Normal</v>
      </c>
      <c r="G379">
        <v>6</v>
      </c>
      <c r="H379" t="str">
        <f>IF(Table2_2[[#This Row],[Price]]&gt;$N$20,"Outlier","Normal")</f>
        <v>Normal</v>
      </c>
      <c r="I379">
        <v>2016</v>
      </c>
      <c r="J379" t="str">
        <f>IF(Table2_2[[#This Row],[Year]]&gt;=2015,"Newer","Older")</f>
        <v>Newer</v>
      </c>
      <c r="K379" s="1" t="s">
        <v>8</v>
      </c>
    </row>
    <row r="380" spans="1:11" x14ac:dyDescent="0.35">
      <c r="A380" s="1" t="s">
        <v>431</v>
      </c>
      <c r="B380" s="1" t="s">
        <v>432</v>
      </c>
      <c r="C380">
        <v>4.7</v>
      </c>
      <c r="D380" t="str">
        <f>IF(Table2_2[[#This Row],[User_Rating]]&lt;4.164816,"Outlier","Normal")</f>
        <v>Normal</v>
      </c>
      <c r="E380">
        <v>23308</v>
      </c>
      <c r="F380" t="str">
        <f>IF(Table2_2[[#This Row],[Reviews]]&gt;$N$13,"Outlier"," Normal")</f>
        <v xml:space="preserve"> Normal</v>
      </c>
      <c r="G380">
        <v>6</v>
      </c>
      <c r="H380" t="str">
        <f>IF(Table2_2[[#This Row],[Price]]&gt;$N$20,"Outlier","Normal")</f>
        <v>Normal</v>
      </c>
      <c r="I380">
        <v>2017</v>
      </c>
      <c r="J380" t="str">
        <f>IF(Table2_2[[#This Row],[Year]]&gt;=2015,"Newer","Older")</f>
        <v>Newer</v>
      </c>
      <c r="K380" s="1" t="s">
        <v>8</v>
      </c>
    </row>
    <row r="381" spans="1:11" x14ac:dyDescent="0.35">
      <c r="A381" s="1" t="s">
        <v>431</v>
      </c>
      <c r="B381" s="1" t="s">
        <v>432</v>
      </c>
      <c r="C381">
        <v>4.7</v>
      </c>
      <c r="D381" t="str">
        <f>IF(Table2_2[[#This Row],[User_Rating]]&lt;4.164816,"Outlier","Normal")</f>
        <v>Normal</v>
      </c>
      <c r="E381">
        <v>23308</v>
      </c>
      <c r="F381" t="str">
        <f>IF(Table2_2[[#This Row],[Reviews]]&gt;$N$13,"Outlier"," Normal")</f>
        <v xml:space="preserve"> Normal</v>
      </c>
      <c r="G381">
        <v>6</v>
      </c>
      <c r="H381" t="str">
        <f>IF(Table2_2[[#This Row],[Price]]&gt;$N$20,"Outlier","Normal")</f>
        <v>Normal</v>
      </c>
      <c r="I381">
        <v>2018</v>
      </c>
      <c r="J381" t="str">
        <f>IF(Table2_2[[#This Row],[Year]]&gt;=2015,"Newer","Older")</f>
        <v>Newer</v>
      </c>
      <c r="K381" s="1" t="s">
        <v>8</v>
      </c>
    </row>
    <row r="382" spans="1:11" x14ac:dyDescent="0.35">
      <c r="A382" s="1" t="s">
        <v>431</v>
      </c>
      <c r="B382" s="1" t="s">
        <v>432</v>
      </c>
      <c r="C382">
        <v>4.7</v>
      </c>
      <c r="D382" t="str">
        <f>IF(Table2_2[[#This Row],[User_Rating]]&lt;4.164816,"Outlier","Normal")</f>
        <v>Normal</v>
      </c>
      <c r="E382">
        <v>23308</v>
      </c>
      <c r="F382" t="str">
        <f>IF(Table2_2[[#This Row],[Reviews]]&gt;$N$13,"Outlier"," Normal")</f>
        <v xml:space="preserve"> Normal</v>
      </c>
      <c r="G382">
        <v>6</v>
      </c>
      <c r="H382" t="str">
        <f>IF(Table2_2[[#This Row],[Price]]&gt;$N$20,"Outlier","Normal")</f>
        <v>Normal</v>
      </c>
      <c r="I382">
        <v>2019</v>
      </c>
      <c r="J382" t="str">
        <f>IF(Table2_2[[#This Row],[Year]]&gt;=2015,"Newer","Older")</f>
        <v>Newer</v>
      </c>
      <c r="K382" s="1" t="s">
        <v>8</v>
      </c>
    </row>
    <row r="383" spans="1:11" x14ac:dyDescent="0.35">
      <c r="A383" s="1" t="s">
        <v>433</v>
      </c>
      <c r="B383" s="1" t="s">
        <v>79</v>
      </c>
      <c r="C383">
        <v>4.8</v>
      </c>
      <c r="D383" t="str">
        <f>IF(Table2_2[[#This Row],[User_Rating]]&lt;4.164816,"Outlier","Normal")</f>
        <v>Normal</v>
      </c>
      <c r="E383">
        <v>5836</v>
      </c>
      <c r="F383" t="str">
        <f>IF(Table2_2[[#This Row],[Reviews]]&gt;$N$13,"Outlier"," Normal")</f>
        <v xml:space="preserve"> Normal</v>
      </c>
      <c r="G383">
        <v>0</v>
      </c>
      <c r="H383" t="str">
        <f>IF(Table2_2[[#This Row],[Price]]&gt;$N$20,"Outlier","Normal")</f>
        <v>Normal</v>
      </c>
      <c r="I383">
        <v>2017</v>
      </c>
      <c r="J383" t="str">
        <f>IF(Table2_2[[#This Row],[Year]]&gt;=2015,"Newer","Older")</f>
        <v>Newer</v>
      </c>
      <c r="K383" s="1" t="s">
        <v>11</v>
      </c>
    </row>
    <row r="384" spans="1:11" x14ac:dyDescent="0.35">
      <c r="A384" s="1" t="s">
        <v>434</v>
      </c>
      <c r="B384" s="1" t="s">
        <v>435</v>
      </c>
      <c r="C384">
        <v>4.0999999999999996</v>
      </c>
      <c r="D384" t="str">
        <f>IF(Table2_2[[#This Row],[User_Rating]]&lt;4.164816,"Outlier","Normal")</f>
        <v>Outlier</v>
      </c>
      <c r="E384">
        <v>79446</v>
      </c>
      <c r="F384" t="str">
        <f>IF(Table2_2[[#This Row],[Reviews]]&gt;$N$13,"Outlier"," Normal")</f>
        <v>Outlier</v>
      </c>
      <c r="G384">
        <v>18</v>
      </c>
      <c r="H384" t="str">
        <f>IF(Table2_2[[#This Row],[Price]]&gt;$N$20,"Outlier","Normal")</f>
        <v>Normal</v>
      </c>
      <c r="I384">
        <v>2015</v>
      </c>
      <c r="J384" t="str">
        <f>IF(Table2_2[[#This Row],[Year]]&gt;=2015,"Newer","Older")</f>
        <v>Newer</v>
      </c>
      <c r="K384" s="1" t="s">
        <v>11</v>
      </c>
    </row>
    <row r="385" spans="1:11" x14ac:dyDescent="0.35">
      <c r="A385" s="1" t="s">
        <v>434</v>
      </c>
      <c r="B385" s="1" t="s">
        <v>435</v>
      </c>
      <c r="C385">
        <v>4.0999999999999996</v>
      </c>
      <c r="D385" t="str">
        <f>IF(Table2_2[[#This Row],[User_Rating]]&lt;4.164816,"Outlier","Normal")</f>
        <v>Outlier</v>
      </c>
      <c r="E385">
        <v>79446</v>
      </c>
      <c r="F385" t="str">
        <f>IF(Table2_2[[#This Row],[Reviews]]&gt;$N$13,"Outlier"," Normal")</f>
        <v>Outlier</v>
      </c>
      <c r="G385">
        <v>7</v>
      </c>
      <c r="H385" t="str">
        <f>IF(Table2_2[[#This Row],[Price]]&gt;$N$20,"Outlier","Normal")</f>
        <v>Normal</v>
      </c>
      <c r="I385">
        <v>2016</v>
      </c>
      <c r="J385" t="str">
        <f>IF(Table2_2[[#This Row],[Year]]&gt;=2015,"Newer","Older")</f>
        <v>Newer</v>
      </c>
      <c r="K385" s="1" t="s">
        <v>11</v>
      </c>
    </row>
    <row r="386" spans="1:11" x14ac:dyDescent="0.35">
      <c r="A386" s="1" t="s">
        <v>436</v>
      </c>
      <c r="B386" s="1" t="s">
        <v>437</v>
      </c>
      <c r="C386">
        <v>4.7</v>
      </c>
      <c r="D386" t="str">
        <f>IF(Table2_2[[#This Row],[User_Rating]]&lt;4.164816,"Outlier","Normal")</f>
        <v>Normal</v>
      </c>
      <c r="E386">
        <v>7747</v>
      </c>
      <c r="F386" t="str">
        <f>IF(Table2_2[[#This Row],[Reviews]]&gt;$N$13,"Outlier"," Normal")</f>
        <v xml:space="preserve"> Normal</v>
      </c>
      <c r="G386">
        <v>14</v>
      </c>
      <c r="H386" t="str">
        <f>IF(Table2_2[[#This Row],[Price]]&gt;$N$20,"Outlier","Normal")</f>
        <v>Normal</v>
      </c>
      <c r="I386">
        <v>2010</v>
      </c>
      <c r="J386" t="str">
        <f>IF(Table2_2[[#This Row],[Year]]&gt;=2015,"Newer","Older")</f>
        <v>Older</v>
      </c>
      <c r="K386" s="1" t="s">
        <v>11</v>
      </c>
    </row>
    <row r="387" spans="1:11" x14ac:dyDescent="0.35">
      <c r="A387" s="1" t="s">
        <v>436</v>
      </c>
      <c r="B387" s="1" t="s">
        <v>437</v>
      </c>
      <c r="C387">
        <v>4.7</v>
      </c>
      <c r="D387" t="str">
        <f>IF(Table2_2[[#This Row],[User_Rating]]&lt;4.164816,"Outlier","Normal")</f>
        <v>Normal</v>
      </c>
      <c r="E387">
        <v>7747</v>
      </c>
      <c r="F387" t="str">
        <f>IF(Table2_2[[#This Row],[Reviews]]&gt;$N$13,"Outlier"," Normal")</f>
        <v xml:space="preserve"> Normal</v>
      </c>
      <c r="G387">
        <v>14</v>
      </c>
      <c r="H387" t="str">
        <f>IF(Table2_2[[#This Row],[Price]]&gt;$N$20,"Outlier","Normal")</f>
        <v>Normal</v>
      </c>
      <c r="I387">
        <v>2011</v>
      </c>
      <c r="J387" t="str">
        <f>IF(Table2_2[[#This Row],[Year]]&gt;=2015,"Newer","Older")</f>
        <v>Older</v>
      </c>
      <c r="K387" s="1" t="s">
        <v>11</v>
      </c>
    </row>
    <row r="388" spans="1:11" x14ac:dyDescent="0.35">
      <c r="A388" s="1" t="s">
        <v>438</v>
      </c>
      <c r="B388" s="1" t="s">
        <v>437</v>
      </c>
      <c r="C388">
        <v>4.7</v>
      </c>
      <c r="D388" t="str">
        <f>IF(Table2_2[[#This Row],[User_Rating]]&lt;4.164816,"Outlier","Normal")</f>
        <v>Normal</v>
      </c>
      <c r="E388">
        <v>7251</v>
      </c>
      <c r="F388" t="str">
        <f>IF(Table2_2[[#This Row],[Reviews]]&gt;$N$13,"Outlier"," Normal")</f>
        <v xml:space="preserve"> Normal</v>
      </c>
      <c r="G388">
        <v>9</v>
      </c>
      <c r="H388" t="str">
        <f>IF(Table2_2[[#This Row],[Price]]&gt;$N$20,"Outlier","Normal")</f>
        <v>Normal</v>
      </c>
      <c r="I388">
        <v>2010</v>
      </c>
      <c r="J388" t="str">
        <f>IF(Table2_2[[#This Row],[Year]]&gt;=2015,"Newer","Older")</f>
        <v>Older</v>
      </c>
      <c r="K388" s="1" t="s">
        <v>11</v>
      </c>
    </row>
    <row r="389" spans="1:11" x14ac:dyDescent="0.35">
      <c r="A389" s="1" t="s">
        <v>439</v>
      </c>
      <c r="B389" s="1" t="s">
        <v>437</v>
      </c>
      <c r="C389">
        <v>4.7</v>
      </c>
      <c r="D389" t="str">
        <f>IF(Table2_2[[#This Row],[User_Rating]]&lt;4.164816,"Outlier","Normal")</f>
        <v>Normal</v>
      </c>
      <c r="E389">
        <v>7251</v>
      </c>
      <c r="F389" t="str">
        <f>IF(Table2_2[[#This Row],[Reviews]]&gt;$N$13,"Outlier"," Normal")</f>
        <v xml:space="preserve"> Normal</v>
      </c>
      <c r="G389">
        <v>16</v>
      </c>
      <c r="H389" t="str">
        <f>IF(Table2_2[[#This Row],[Price]]&gt;$N$20,"Outlier","Normal")</f>
        <v>Normal</v>
      </c>
      <c r="I389">
        <v>2009</v>
      </c>
      <c r="J389" t="str">
        <f>IF(Table2_2[[#This Row],[Year]]&gt;=2015,"Newer","Older")</f>
        <v>Older</v>
      </c>
      <c r="K389" s="1" t="s">
        <v>11</v>
      </c>
    </row>
    <row r="390" spans="1:11" x14ac:dyDescent="0.35">
      <c r="A390" s="1" t="s">
        <v>440</v>
      </c>
      <c r="B390" s="1" t="s">
        <v>437</v>
      </c>
      <c r="C390">
        <v>4.4000000000000004</v>
      </c>
      <c r="D390" t="str">
        <f>IF(Table2_2[[#This Row],[User_Rating]]&lt;4.164816,"Outlier","Normal")</f>
        <v>Normal</v>
      </c>
      <c r="E390">
        <v>10559</v>
      </c>
      <c r="F390" t="str">
        <f>IF(Table2_2[[#This Row],[Reviews]]&gt;$N$13,"Outlier"," Normal")</f>
        <v xml:space="preserve"> Normal</v>
      </c>
      <c r="G390">
        <v>2</v>
      </c>
      <c r="H390" t="str">
        <f>IF(Table2_2[[#This Row],[Price]]&gt;$N$20,"Outlier","Normal")</f>
        <v>Normal</v>
      </c>
      <c r="I390">
        <v>2009</v>
      </c>
      <c r="J390" t="str">
        <f>IF(Table2_2[[#This Row],[Year]]&gt;=2015,"Newer","Older")</f>
        <v>Older</v>
      </c>
      <c r="K390" s="1" t="s">
        <v>11</v>
      </c>
    </row>
    <row r="391" spans="1:11" x14ac:dyDescent="0.35">
      <c r="A391" s="1" t="s">
        <v>440</v>
      </c>
      <c r="B391" s="1" t="s">
        <v>437</v>
      </c>
      <c r="C391">
        <v>4.4000000000000004</v>
      </c>
      <c r="D391" t="str">
        <f>IF(Table2_2[[#This Row],[User_Rating]]&lt;4.164816,"Outlier","Normal")</f>
        <v>Normal</v>
      </c>
      <c r="E391">
        <v>10559</v>
      </c>
      <c r="F391" t="str">
        <f>IF(Table2_2[[#This Row],[Reviews]]&gt;$N$13,"Outlier"," Normal")</f>
        <v xml:space="preserve"> Normal</v>
      </c>
      <c r="G391">
        <v>2</v>
      </c>
      <c r="H391" t="str">
        <f>IF(Table2_2[[#This Row],[Price]]&gt;$N$20,"Outlier","Normal")</f>
        <v>Normal</v>
      </c>
      <c r="I391">
        <v>2010</v>
      </c>
      <c r="J391" t="str">
        <f>IF(Table2_2[[#This Row],[Year]]&gt;=2015,"Newer","Older")</f>
        <v>Older</v>
      </c>
      <c r="K391" s="1" t="s">
        <v>11</v>
      </c>
    </row>
    <row r="392" spans="1:11" x14ac:dyDescent="0.35">
      <c r="A392" s="1" t="s">
        <v>441</v>
      </c>
      <c r="B392" s="1" t="s">
        <v>442</v>
      </c>
      <c r="C392">
        <v>4.8</v>
      </c>
      <c r="D392" t="str">
        <f>IF(Table2_2[[#This Row],[User_Rating]]&lt;4.164816,"Outlier","Normal")</f>
        <v>Normal</v>
      </c>
      <c r="E392">
        <v>5249</v>
      </c>
      <c r="F392" t="str">
        <f>IF(Table2_2[[#This Row],[Reviews]]&gt;$N$13,"Outlier"," Normal")</f>
        <v xml:space="preserve"> Normal</v>
      </c>
      <c r="G392">
        <v>5</v>
      </c>
      <c r="H392" t="str">
        <f>IF(Table2_2[[#This Row],[Price]]&gt;$N$20,"Outlier","Normal")</f>
        <v>Normal</v>
      </c>
      <c r="I392">
        <v>2016</v>
      </c>
      <c r="J392" t="str">
        <f>IF(Table2_2[[#This Row],[Year]]&gt;=2015,"Newer","Older")</f>
        <v>Newer</v>
      </c>
      <c r="K392" s="1" t="s">
        <v>11</v>
      </c>
    </row>
    <row r="393" spans="1:11" x14ac:dyDescent="0.35">
      <c r="A393" s="1" t="s">
        <v>441</v>
      </c>
      <c r="B393" s="1" t="s">
        <v>442</v>
      </c>
      <c r="C393">
        <v>4.8</v>
      </c>
      <c r="D393" t="str">
        <f>IF(Table2_2[[#This Row],[User_Rating]]&lt;4.164816,"Outlier","Normal")</f>
        <v>Normal</v>
      </c>
      <c r="E393">
        <v>5249</v>
      </c>
      <c r="F393" t="str">
        <f>IF(Table2_2[[#This Row],[Reviews]]&gt;$N$13,"Outlier"," Normal")</f>
        <v xml:space="preserve"> Normal</v>
      </c>
      <c r="G393">
        <v>5</v>
      </c>
      <c r="H393" t="str">
        <f>IF(Table2_2[[#This Row],[Price]]&gt;$N$20,"Outlier","Normal")</f>
        <v>Normal</v>
      </c>
      <c r="I393">
        <v>2017</v>
      </c>
      <c r="J393" t="str">
        <f>IF(Table2_2[[#This Row],[Year]]&gt;=2015,"Newer","Older")</f>
        <v>Newer</v>
      </c>
      <c r="K393" s="1" t="s">
        <v>11</v>
      </c>
    </row>
    <row r="394" spans="1:11" x14ac:dyDescent="0.35">
      <c r="A394" s="1" t="s">
        <v>443</v>
      </c>
      <c r="B394" s="1" t="s">
        <v>444</v>
      </c>
      <c r="C394">
        <v>3.9</v>
      </c>
      <c r="D394" t="str">
        <f>IF(Table2_2[[#This Row],[User_Rating]]&lt;4.164816,"Outlier","Normal")</f>
        <v>Outlier</v>
      </c>
      <c r="E394">
        <v>33844</v>
      </c>
      <c r="F394" t="str">
        <f>IF(Table2_2[[#This Row],[Reviews]]&gt;$N$13,"Outlier"," Normal")</f>
        <v xml:space="preserve"> Normal</v>
      </c>
      <c r="G394">
        <v>20</v>
      </c>
      <c r="H394" t="str">
        <f>IF(Table2_2[[#This Row],[Price]]&gt;$N$20,"Outlier","Normal")</f>
        <v>Normal</v>
      </c>
      <c r="I394">
        <v>2013</v>
      </c>
      <c r="J394" t="str">
        <f>IF(Table2_2[[#This Row],[Year]]&gt;=2015,"Newer","Older")</f>
        <v>Older</v>
      </c>
      <c r="K394" s="1" t="s">
        <v>11</v>
      </c>
    </row>
    <row r="395" spans="1:11" x14ac:dyDescent="0.35">
      <c r="A395" s="1" t="s">
        <v>443</v>
      </c>
      <c r="B395" s="1" t="s">
        <v>444</v>
      </c>
      <c r="C395">
        <v>3.9</v>
      </c>
      <c r="D395" t="str">
        <f>IF(Table2_2[[#This Row],[User_Rating]]&lt;4.164816,"Outlier","Normal")</f>
        <v>Outlier</v>
      </c>
      <c r="E395">
        <v>33844</v>
      </c>
      <c r="F395" t="str">
        <f>IF(Table2_2[[#This Row],[Reviews]]&gt;$N$13,"Outlier"," Normal")</f>
        <v xml:space="preserve"> Normal</v>
      </c>
      <c r="G395">
        <v>20</v>
      </c>
      <c r="H395" t="str">
        <f>IF(Table2_2[[#This Row],[Price]]&gt;$N$20,"Outlier","Normal")</f>
        <v>Normal</v>
      </c>
      <c r="I395">
        <v>2014</v>
      </c>
      <c r="J395" t="str">
        <f>IF(Table2_2[[#This Row],[Year]]&gt;=2015,"Newer","Older")</f>
        <v>Older</v>
      </c>
      <c r="K395" s="1" t="s">
        <v>11</v>
      </c>
    </row>
    <row r="396" spans="1:11" x14ac:dyDescent="0.35">
      <c r="A396" s="1" t="s">
        <v>445</v>
      </c>
      <c r="B396" s="1" t="s">
        <v>446</v>
      </c>
      <c r="C396">
        <v>4.4000000000000004</v>
      </c>
      <c r="D396" t="str">
        <f>IF(Table2_2[[#This Row],[User_Rating]]&lt;4.164816,"Outlier","Normal")</f>
        <v>Normal</v>
      </c>
      <c r="E396">
        <v>11616</v>
      </c>
      <c r="F396" t="str">
        <f>IF(Table2_2[[#This Row],[Reviews]]&gt;$N$13,"Outlier"," Normal")</f>
        <v xml:space="preserve"> Normal</v>
      </c>
      <c r="G396">
        <v>7</v>
      </c>
      <c r="H396" t="str">
        <f>IF(Table2_2[[#This Row],[Price]]&gt;$N$20,"Outlier","Normal")</f>
        <v>Normal</v>
      </c>
      <c r="I396">
        <v>2012</v>
      </c>
      <c r="J396" t="str">
        <f>IF(Table2_2[[#This Row],[Year]]&gt;=2015,"Newer","Older")</f>
        <v>Older</v>
      </c>
      <c r="K396" s="1" t="s">
        <v>11</v>
      </c>
    </row>
    <row r="397" spans="1:11" x14ac:dyDescent="0.35">
      <c r="A397" s="1" t="s">
        <v>445</v>
      </c>
      <c r="B397" s="1" t="s">
        <v>446</v>
      </c>
      <c r="C397">
        <v>4.4000000000000004</v>
      </c>
      <c r="D397" t="str">
        <f>IF(Table2_2[[#This Row],[User_Rating]]&lt;4.164816,"Outlier","Normal")</f>
        <v>Normal</v>
      </c>
      <c r="E397">
        <v>11616</v>
      </c>
      <c r="F397" t="str">
        <f>IF(Table2_2[[#This Row],[Reviews]]&gt;$N$13,"Outlier"," Normal")</f>
        <v xml:space="preserve"> Normal</v>
      </c>
      <c r="G397">
        <v>7</v>
      </c>
      <c r="H397" t="str">
        <f>IF(Table2_2[[#This Row],[Price]]&gt;$N$20,"Outlier","Normal")</f>
        <v>Normal</v>
      </c>
      <c r="I397">
        <v>2013</v>
      </c>
      <c r="J397" t="str">
        <f>IF(Table2_2[[#This Row],[Year]]&gt;=2015,"Newer","Older")</f>
        <v>Older</v>
      </c>
      <c r="K397" s="1" t="s">
        <v>11</v>
      </c>
    </row>
    <row r="398" spans="1:11" x14ac:dyDescent="0.35">
      <c r="A398" s="1" t="s">
        <v>445</v>
      </c>
      <c r="B398" s="1" t="s">
        <v>446</v>
      </c>
      <c r="C398">
        <v>4.4000000000000004</v>
      </c>
      <c r="D398" t="str">
        <f>IF(Table2_2[[#This Row],[User_Rating]]&lt;4.164816,"Outlier","Normal")</f>
        <v>Normal</v>
      </c>
      <c r="E398">
        <v>11616</v>
      </c>
      <c r="F398" t="str">
        <f>IF(Table2_2[[#This Row],[Reviews]]&gt;$N$13,"Outlier"," Normal")</f>
        <v xml:space="preserve"> Normal</v>
      </c>
      <c r="G398">
        <v>7</v>
      </c>
      <c r="H398" t="str">
        <f>IF(Table2_2[[#This Row],[Price]]&gt;$N$20,"Outlier","Normal")</f>
        <v>Normal</v>
      </c>
      <c r="I398">
        <v>2014</v>
      </c>
      <c r="J398" t="str">
        <f>IF(Table2_2[[#This Row],[Year]]&gt;=2015,"Newer","Older")</f>
        <v>Older</v>
      </c>
      <c r="K398" s="1" t="s">
        <v>11</v>
      </c>
    </row>
    <row r="399" spans="1:11" x14ac:dyDescent="0.35">
      <c r="A399" s="1" t="s">
        <v>447</v>
      </c>
      <c r="B399" s="1" t="s">
        <v>376</v>
      </c>
      <c r="C399">
        <v>4.5</v>
      </c>
      <c r="D399" t="str">
        <f>IF(Table2_2[[#This Row],[User_Rating]]&lt;4.164816,"Outlier","Normal")</f>
        <v>Normal</v>
      </c>
      <c r="E399">
        <v>13609</v>
      </c>
      <c r="F399" t="str">
        <f>IF(Table2_2[[#This Row],[Reviews]]&gt;$N$13,"Outlier"," Normal")</f>
        <v xml:space="preserve"> Normal</v>
      </c>
      <c r="G399">
        <v>14</v>
      </c>
      <c r="H399" t="str">
        <f>IF(Table2_2[[#This Row],[Price]]&gt;$N$20,"Outlier","Normal")</f>
        <v>Normal</v>
      </c>
      <c r="I399">
        <v>2019</v>
      </c>
      <c r="J399" t="str">
        <f>IF(Table2_2[[#This Row],[Year]]&gt;=2015,"Newer","Older")</f>
        <v>Newer</v>
      </c>
      <c r="K399" s="1" t="s">
        <v>11</v>
      </c>
    </row>
    <row r="400" spans="1:11" x14ac:dyDescent="0.35">
      <c r="A400" s="1" t="s">
        <v>448</v>
      </c>
      <c r="B400" s="1" t="s">
        <v>449</v>
      </c>
      <c r="C400">
        <v>4.7</v>
      </c>
      <c r="D400" t="str">
        <f>IF(Table2_2[[#This Row],[User_Rating]]&lt;4.164816,"Outlier","Normal")</f>
        <v>Normal</v>
      </c>
      <c r="E400">
        <v>8587</v>
      </c>
      <c r="F400" t="str">
        <f>IF(Table2_2[[#This Row],[Reviews]]&gt;$N$13,"Outlier"," Normal")</f>
        <v xml:space="preserve"> Normal</v>
      </c>
      <c r="G400">
        <v>10</v>
      </c>
      <c r="H400" t="str">
        <f>IF(Table2_2[[#This Row],[Price]]&gt;$N$20,"Outlier","Normal")</f>
        <v>Normal</v>
      </c>
      <c r="I400">
        <v>2009</v>
      </c>
      <c r="J400" t="str">
        <f>IF(Table2_2[[#This Row],[Year]]&gt;=2015,"Newer","Older")</f>
        <v>Older</v>
      </c>
      <c r="K400" s="1" t="s">
        <v>11</v>
      </c>
    </row>
    <row r="401" spans="1:11" x14ac:dyDescent="0.35">
      <c r="A401" s="1" t="s">
        <v>450</v>
      </c>
      <c r="B401" s="1" t="s">
        <v>451</v>
      </c>
      <c r="C401">
        <v>4.3</v>
      </c>
      <c r="D401" t="str">
        <f>IF(Table2_2[[#This Row],[User_Rating]]&lt;4.164816,"Outlier","Normal")</f>
        <v>Normal</v>
      </c>
      <c r="E401">
        <v>29442</v>
      </c>
      <c r="F401" t="str">
        <f>IF(Table2_2[[#This Row],[Reviews]]&gt;$N$13,"Outlier"," Normal")</f>
        <v xml:space="preserve"> Normal</v>
      </c>
      <c r="G401">
        <v>7</v>
      </c>
      <c r="H401" t="str">
        <f>IF(Table2_2[[#This Row],[Price]]&gt;$N$20,"Outlier","Normal")</f>
        <v>Normal</v>
      </c>
      <c r="I401">
        <v>2017</v>
      </c>
      <c r="J401" t="str">
        <f>IF(Table2_2[[#This Row],[Year]]&gt;=2015,"Newer","Older")</f>
        <v>Newer</v>
      </c>
      <c r="K401" s="1" t="s">
        <v>11</v>
      </c>
    </row>
    <row r="402" spans="1:11" x14ac:dyDescent="0.35">
      <c r="A402" s="1" t="s">
        <v>452</v>
      </c>
      <c r="B402" s="1" t="s">
        <v>453</v>
      </c>
      <c r="C402">
        <v>4.5999999999999996</v>
      </c>
      <c r="D402" t="str">
        <f>IF(Table2_2[[#This Row],[User_Rating]]&lt;4.164816,"Outlier","Normal")</f>
        <v>Normal</v>
      </c>
      <c r="E402">
        <v>11098</v>
      </c>
      <c r="F402" t="str">
        <f>IF(Table2_2[[#This Row],[Reviews]]&gt;$N$13,"Outlier"," Normal")</f>
        <v xml:space="preserve"> Normal</v>
      </c>
      <c r="G402">
        <v>13</v>
      </c>
      <c r="H402" t="str">
        <f>IF(Table2_2[[#This Row],[Price]]&gt;$N$20,"Outlier","Normal")</f>
        <v>Normal</v>
      </c>
      <c r="I402">
        <v>2012</v>
      </c>
      <c r="J402" t="str">
        <f>IF(Table2_2[[#This Row],[Year]]&gt;=2015,"Newer","Older")</f>
        <v>Older</v>
      </c>
      <c r="K402" s="1" t="s">
        <v>11</v>
      </c>
    </row>
    <row r="403" spans="1:11" x14ac:dyDescent="0.35">
      <c r="A403" s="1" t="s">
        <v>454</v>
      </c>
      <c r="B403" s="1" t="s">
        <v>455</v>
      </c>
      <c r="C403">
        <v>4.8</v>
      </c>
      <c r="D403" t="str">
        <f>IF(Table2_2[[#This Row],[User_Rating]]&lt;4.164816,"Outlier","Normal")</f>
        <v>Normal</v>
      </c>
      <c r="E403">
        <v>9947</v>
      </c>
      <c r="F403" t="str">
        <f>IF(Table2_2[[#This Row],[Reviews]]&gt;$N$13,"Outlier"," Normal")</f>
        <v xml:space="preserve"> Normal</v>
      </c>
      <c r="G403">
        <v>11</v>
      </c>
      <c r="H403" t="str">
        <f>IF(Table2_2[[#This Row],[Price]]&gt;$N$20,"Outlier","Normal")</f>
        <v>Normal</v>
      </c>
      <c r="I403">
        <v>2018</v>
      </c>
      <c r="J403" t="str">
        <f>IF(Table2_2[[#This Row],[Year]]&gt;=2015,"Newer","Older")</f>
        <v>Newer</v>
      </c>
      <c r="K403" s="1" t="s">
        <v>11</v>
      </c>
    </row>
    <row r="404" spans="1:11" x14ac:dyDescent="0.35">
      <c r="A404" s="1" t="s">
        <v>456</v>
      </c>
      <c r="B404" s="1" t="s">
        <v>457</v>
      </c>
      <c r="C404">
        <v>4.8</v>
      </c>
      <c r="D404" t="str">
        <f>IF(Table2_2[[#This Row],[User_Rating]]&lt;4.164816,"Outlier","Normal")</f>
        <v>Normal</v>
      </c>
      <c r="E404">
        <v>13871</v>
      </c>
      <c r="F404" t="str">
        <f>IF(Table2_2[[#This Row],[Reviews]]&gt;$N$13,"Outlier"," Normal")</f>
        <v xml:space="preserve"> Normal</v>
      </c>
      <c r="G404">
        <v>6</v>
      </c>
      <c r="H404" t="str">
        <f>IF(Table2_2[[#This Row],[Price]]&gt;$N$20,"Outlier","Normal")</f>
        <v>Normal</v>
      </c>
      <c r="I404">
        <v>2009</v>
      </c>
      <c r="J404" t="str">
        <f>IF(Table2_2[[#This Row],[Year]]&gt;=2015,"Newer","Older")</f>
        <v>Older</v>
      </c>
      <c r="K404" s="1" t="s">
        <v>11</v>
      </c>
    </row>
    <row r="405" spans="1:11" x14ac:dyDescent="0.35">
      <c r="A405" s="1" t="s">
        <v>456</v>
      </c>
      <c r="B405" s="1" t="s">
        <v>457</v>
      </c>
      <c r="C405">
        <v>4.8</v>
      </c>
      <c r="D405" t="str">
        <f>IF(Table2_2[[#This Row],[User_Rating]]&lt;4.164816,"Outlier","Normal")</f>
        <v>Normal</v>
      </c>
      <c r="E405">
        <v>13871</v>
      </c>
      <c r="F405" t="str">
        <f>IF(Table2_2[[#This Row],[Reviews]]&gt;$N$13,"Outlier"," Normal")</f>
        <v xml:space="preserve"> Normal</v>
      </c>
      <c r="G405">
        <v>6</v>
      </c>
      <c r="H405" t="str">
        <f>IF(Table2_2[[#This Row],[Price]]&gt;$N$20,"Outlier","Normal")</f>
        <v>Normal</v>
      </c>
      <c r="I405">
        <v>2010</v>
      </c>
      <c r="J405" t="str">
        <f>IF(Table2_2[[#This Row],[Year]]&gt;=2015,"Newer","Older")</f>
        <v>Older</v>
      </c>
      <c r="K405" s="1" t="s">
        <v>11</v>
      </c>
    </row>
    <row r="406" spans="1:11" x14ac:dyDescent="0.35">
      <c r="A406" s="1" t="s">
        <v>456</v>
      </c>
      <c r="B406" s="1" t="s">
        <v>457</v>
      </c>
      <c r="C406">
        <v>4.8</v>
      </c>
      <c r="D406" t="str">
        <f>IF(Table2_2[[#This Row],[User_Rating]]&lt;4.164816,"Outlier","Normal")</f>
        <v>Normal</v>
      </c>
      <c r="E406">
        <v>13871</v>
      </c>
      <c r="F406" t="str">
        <f>IF(Table2_2[[#This Row],[Reviews]]&gt;$N$13,"Outlier"," Normal")</f>
        <v xml:space="preserve"> Normal</v>
      </c>
      <c r="G406">
        <v>8</v>
      </c>
      <c r="H406" t="str">
        <f>IF(Table2_2[[#This Row],[Price]]&gt;$N$20,"Outlier","Normal")</f>
        <v>Normal</v>
      </c>
      <c r="I406">
        <v>2011</v>
      </c>
      <c r="J406" t="str">
        <f>IF(Table2_2[[#This Row],[Year]]&gt;=2015,"Newer","Older")</f>
        <v>Older</v>
      </c>
      <c r="K406" s="1" t="s">
        <v>11</v>
      </c>
    </row>
    <row r="407" spans="1:11" x14ac:dyDescent="0.35">
      <c r="A407" s="1" t="s">
        <v>456</v>
      </c>
      <c r="B407" s="1" t="s">
        <v>457</v>
      </c>
      <c r="C407">
        <v>4.8</v>
      </c>
      <c r="D407" t="str">
        <f>IF(Table2_2[[#This Row],[User_Rating]]&lt;4.164816,"Outlier","Normal")</f>
        <v>Normal</v>
      </c>
      <c r="E407">
        <v>13871</v>
      </c>
      <c r="F407" t="str">
        <f>IF(Table2_2[[#This Row],[Reviews]]&gt;$N$13,"Outlier"," Normal")</f>
        <v xml:space="preserve"> Normal</v>
      </c>
      <c r="G407">
        <v>7</v>
      </c>
      <c r="H407" t="str">
        <f>IF(Table2_2[[#This Row],[Price]]&gt;$N$20,"Outlier","Normal")</f>
        <v>Normal</v>
      </c>
      <c r="I407">
        <v>2011</v>
      </c>
      <c r="J407" t="str">
        <f>IF(Table2_2[[#This Row],[Year]]&gt;=2015,"Newer","Older")</f>
        <v>Older</v>
      </c>
      <c r="K407" s="1" t="s">
        <v>11</v>
      </c>
    </row>
    <row r="408" spans="1:11" x14ac:dyDescent="0.35">
      <c r="A408" s="1" t="s">
        <v>458</v>
      </c>
      <c r="B408" s="1" t="s">
        <v>332</v>
      </c>
      <c r="C408">
        <v>4.8</v>
      </c>
      <c r="D408" t="str">
        <f>IF(Table2_2[[#This Row],[User_Rating]]&lt;4.164816,"Outlier","Normal")</f>
        <v>Normal</v>
      </c>
      <c r="E408">
        <v>6982</v>
      </c>
      <c r="F408" t="str">
        <f>IF(Table2_2[[#This Row],[Reviews]]&gt;$N$13,"Outlier"," Normal")</f>
        <v xml:space="preserve"> Normal</v>
      </c>
      <c r="G408">
        <v>14</v>
      </c>
      <c r="H408" t="str">
        <f>IF(Table2_2[[#This Row],[Price]]&gt;$N$20,"Outlier","Normal")</f>
        <v>Normal</v>
      </c>
      <c r="I408">
        <v>2013</v>
      </c>
      <c r="J408" t="str">
        <f>IF(Table2_2[[#This Row],[Year]]&gt;=2015,"Newer","Older")</f>
        <v>Older</v>
      </c>
      <c r="K408" s="1" t="s">
        <v>11</v>
      </c>
    </row>
    <row r="409" spans="1:11" x14ac:dyDescent="0.35">
      <c r="A409" s="1" t="s">
        <v>459</v>
      </c>
      <c r="B409" s="1" t="s">
        <v>87</v>
      </c>
      <c r="C409">
        <v>4.7</v>
      </c>
      <c r="D409" t="str">
        <f>IF(Table2_2[[#This Row],[User_Rating]]&lt;4.164816,"Outlier","Normal")</f>
        <v>Normal</v>
      </c>
      <c r="E409">
        <v>32122</v>
      </c>
      <c r="F409" t="str">
        <f>IF(Table2_2[[#This Row],[Reviews]]&gt;$N$13,"Outlier"," Normal")</f>
        <v xml:space="preserve"> Normal</v>
      </c>
      <c r="G409">
        <v>14</v>
      </c>
      <c r="H409" t="str">
        <f>IF(Table2_2[[#This Row],[Price]]&gt;$N$20,"Outlier","Normal")</f>
        <v>Normal</v>
      </c>
      <c r="I409">
        <v>2010</v>
      </c>
      <c r="J409" t="str">
        <f>IF(Table2_2[[#This Row],[Year]]&gt;=2015,"Newer","Older")</f>
        <v>Older</v>
      </c>
      <c r="K409" s="1" t="s">
        <v>11</v>
      </c>
    </row>
    <row r="410" spans="1:11" x14ac:dyDescent="0.35">
      <c r="A410" s="1" t="s">
        <v>460</v>
      </c>
      <c r="B410" s="1" t="s">
        <v>87</v>
      </c>
      <c r="C410">
        <v>4.7</v>
      </c>
      <c r="D410" t="str">
        <f>IF(Table2_2[[#This Row],[User_Rating]]&lt;4.164816,"Outlier","Normal")</f>
        <v>Normal</v>
      </c>
      <c r="E410">
        <v>32122</v>
      </c>
      <c r="F410" t="str">
        <f>IF(Table2_2[[#This Row],[Reviews]]&gt;$N$13,"Outlier"," Normal")</f>
        <v xml:space="preserve"> Normal</v>
      </c>
      <c r="G410">
        <v>8</v>
      </c>
      <c r="H410" t="str">
        <f>IF(Table2_2[[#This Row],[Price]]&gt;$N$20,"Outlier","Normal")</f>
        <v>Normal</v>
      </c>
      <c r="I410">
        <v>2011</v>
      </c>
      <c r="J410" t="str">
        <f>IF(Table2_2[[#This Row],[Year]]&gt;=2015,"Newer","Older")</f>
        <v>Older</v>
      </c>
      <c r="K410" s="1" t="s">
        <v>11</v>
      </c>
    </row>
    <row r="411" spans="1:11" x14ac:dyDescent="0.35">
      <c r="A411" s="1" t="s">
        <v>460</v>
      </c>
      <c r="B411" s="1" t="s">
        <v>87</v>
      </c>
      <c r="C411">
        <v>4.7</v>
      </c>
      <c r="D411" t="str">
        <f>IF(Table2_2[[#This Row],[User_Rating]]&lt;4.164816,"Outlier","Normal")</f>
        <v>Normal</v>
      </c>
      <c r="E411">
        <v>32122</v>
      </c>
      <c r="F411" t="str">
        <f>IF(Table2_2[[#This Row],[Reviews]]&gt;$N$13,"Outlier"," Normal")</f>
        <v xml:space="preserve"> Normal</v>
      </c>
      <c r="G411">
        <v>8</v>
      </c>
      <c r="H411" t="str">
        <f>IF(Table2_2[[#This Row],[Price]]&gt;$N$20,"Outlier","Normal")</f>
        <v>Normal</v>
      </c>
      <c r="I411">
        <v>2012</v>
      </c>
      <c r="J411" t="str">
        <f>IF(Table2_2[[#This Row],[Year]]&gt;=2015,"Newer","Older")</f>
        <v>Older</v>
      </c>
      <c r="K411" s="1" t="s">
        <v>11</v>
      </c>
    </row>
    <row r="412" spans="1:11" x14ac:dyDescent="0.35">
      <c r="A412" s="1" t="s">
        <v>461</v>
      </c>
      <c r="B412" s="1" t="s">
        <v>87</v>
      </c>
      <c r="C412">
        <v>4.8</v>
      </c>
      <c r="D412" t="str">
        <f>IF(Table2_2[[#This Row],[User_Rating]]&lt;4.164816,"Outlier","Normal")</f>
        <v>Normal</v>
      </c>
      <c r="E412">
        <v>16949</v>
      </c>
      <c r="F412" t="str">
        <f>IF(Table2_2[[#This Row],[Reviews]]&gt;$N$13,"Outlier"," Normal")</f>
        <v xml:space="preserve"> Normal</v>
      </c>
      <c r="G412">
        <v>30</v>
      </c>
      <c r="H412" t="str">
        <f>IF(Table2_2[[#This Row],[Price]]&gt;$N$20,"Outlier","Normal")</f>
        <v>Normal</v>
      </c>
      <c r="I412">
        <v>2011</v>
      </c>
      <c r="J412" t="str">
        <f>IF(Table2_2[[#This Row],[Year]]&gt;=2015,"Newer","Older")</f>
        <v>Older</v>
      </c>
      <c r="K412" s="1" t="s">
        <v>11</v>
      </c>
    </row>
    <row r="413" spans="1:11" x14ac:dyDescent="0.35">
      <c r="A413" s="1" t="s">
        <v>461</v>
      </c>
      <c r="B413" s="1" t="s">
        <v>87</v>
      </c>
      <c r="C413">
        <v>4.8</v>
      </c>
      <c r="D413" t="str">
        <f>IF(Table2_2[[#This Row],[User_Rating]]&lt;4.164816,"Outlier","Normal")</f>
        <v>Normal</v>
      </c>
      <c r="E413">
        <v>16949</v>
      </c>
      <c r="F413" t="str">
        <f>IF(Table2_2[[#This Row],[Reviews]]&gt;$N$13,"Outlier"," Normal")</f>
        <v xml:space="preserve"> Normal</v>
      </c>
      <c r="G413">
        <v>30</v>
      </c>
      <c r="H413" t="str">
        <f>IF(Table2_2[[#This Row],[Price]]&gt;$N$20,"Outlier","Normal")</f>
        <v>Normal</v>
      </c>
      <c r="I413">
        <v>2012</v>
      </c>
      <c r="J413" t="str">
        <f>IF(Table2_2[[#This Row],[Year]]&gt;=2015,"Newer","Older")</f>
        <v>Older</v>
      </c>
      <c r="K413" s="1" t="s">
        <v>11</v>
      </c>
    </row>
    <row r="414" spans="1:11" x14ac:dyDescent="0.35">
      <c r="A414" s="1" t="s">
        <v>462</v>
      </c>
      <c r="B414" s="1" t="s">
        <v>463</v>
      </c>
      <c r="C414">
        <v>4.7</v>
      </c>
      <c r="D414" t="str">
        <f>IF(Table2_2[[#This Row],[User_Rating]]&lt;4.164816,"Outlier","Normal")</f>
        <v>Normal</v>
      </c>
      <c r="E414">
        <v>9289</v>
      </c>
      <c r="F414" t="str">
        <f>IF(Table2_2[[#This Row],[Reviews]]&gt;$N$13,"Outlier"," Normal")</f>
        <v xml:space="preserve"> Normal</v>
      </c>
      <c r="G414">
        <v>13</v>
      </c>
      <c r="H414" t="str">
        <f>IF(Table2_2[[#This Row],[Price]]&gt;$N$20,"Outlier","Normal")</f>
        <v>Normal</v>
      </c>
      <c r="I414">
        <v>2010</v>
      </c>
      <c r="J414" t="str">
        <f>IF(Table2_2[[#This Row],[Year]]&gt;=2015,"Newer","Older")</f>
        <v>Older</v>
      </c>
      <c r="K414" s="1" t="s">
        <v>8</v>
      </c>
    </row>
    <row r="415" spans="1:11" x14ac:dyDescent="0.35">
      <c r="A415" s="1" t="s">
        <v>462</v>
      </c>
      <c r="B415" s="1" t="s">
        <v>463</v>
      </c>
      <c r="C415">
        <v>4.7</v>
      </c>
      <c r="D415" t="str">
        <f>IF(Table2_2[[#This Row],[User_Rating]]&lt;4.164816,"Outlier","Normal")</f>
        <v>Normal</v>
      </c>
      <c r="E415">
        <v>9289</v>
      </c>
      <c r="F415" t="str">
        <f>IF(Table2_2[[#This Row],[Reviews]]&gt;$N$13,"Outlier"," Normal")</f>
        <v xml:space="preserve"> Normal</v>
      </c>
      <c r="G415">
        <v>9</v>
      </c>
      <c r="H415" t="str">
        <f>IF(Table2_2[[#This Row],[Price]]&gt;$N$20,"Outlier","Normal")</f>
        <v>Normal</v>
      </c>
      <c r="I415">
        <v>2011</v>
      </c>
      <c r="J415" t="str">
        <f>IF(Table2_2[[#This Row],[Year]]&gt;=2015,"Newer","Older")</f>
        <v>Older</v>
      </c>
      <c r="K415" s="1" t="s">
        <v>8</v>
      </c>
    </row>
    <row r="416" spans="1:11" x14ac:dyDescent="0.35">
      <c r="A416" s="1" t="s">
        <v>462</v>
      </c>
      <c r="B416" s="1" t="s">
        <v>463</v>
      </c>
      <c r="C416">
        <v>4.7</v>
      </c>
      <c r="D416" t="str">
        <f>IF(Table2_2[[#This Row],[User_Rating]]&lt;4.164816,"Outlier","Normal")</f>
        <v>Normal</v>
      </c>
      <c r="E416">
        <v>9289</v>
      </c>
      <c r="F416" t="str">
        <f>IF(Table2_2[[#This Row],[Reviews]]&gt;$N$13,"Outlier"," Normal")</f>
        <v xml:space="preserve"> Normal</v>
      </c>
      <c r="G416">
        <v>9</v>
      </c>
      <c r="H416" t="str">
        <f>IF(Table2_2[[#This Row],[Price]]&gt;$N$20,"Outlier","Normal")</f>
        <v>Normal</v>
      </c>
      <c r="I416">
        <v>2012</v>
      </c>
      <c r="J416" t="str">
        <f>IF(Table2_2[[#This Row],[Year]]&gt;=2015,"Newer","Older")</f>
        <v>Older</v>
      </c>
      <c r="K416" s="1" t="s">
        <v>8</v>
      </c>
    </row>
    <row r="417" spans="1:11" x14ac:dyDescent="0.35">
      <c r="A417" s="1" t="s">
        <v>464</v>
      </c>
      <c r="B417" s="1" t="s">
        <v>465</v>
      </c>
      <c r="C417">
        <v>4.3</v>
      </c>
      <c r="D417" t="str">
        <f>IF(Table2_2[[#This Row],[User_Rating]]&lt;4.164816,"Outlier","Normal")</f>
        <v>Normal</v>
      </c>
      <c r="E417">
        <v>7368</v>
      </c>
      <c r="F417" t="str">
        <f>IF(Table2_2[[#This Row],[Reviews]]&gt;$N$13,"Outlier"," Normal")</f>
        <v xml:space="preserve"> Normal</v>
      </c>
      <c r="G417">
        <v>7</v>
      </c>
      <c r="H417" t="str">
        <f>IF(Table2_2[[#This Row],[Price]]&gt;$N$20,"Outlier","Normal")</f>
        <v>Normal</v>
      </c>
      <c r="I417">
        <v>2017</v>
      </c>
      <c r="J417" t="str">
        <f>IF(Table2_2[[#This Row],[Year]]&gt;=2015,"Newer","Older")</f>
        <v>Newer</v>
      </c>
      <c r="K417" s="1" t="s">
        <v>8</v>
      </c>
    </row>
    <row r="418" spans="1:11" x14ac:dyDescent="0.35">
      <c r="A418" s="1" t="s">
        <v>464</v>
      </c>
      <c r="B418" s="1" t="s">
        <v>465</v>
      </c>
      <c r="C418">
        <v>4.3</v>
      </c>
      <c r="D418" t="str">
        <f>IF(Table2_2[[#This Row],[User_Rating]]&lt;4.164816,"Outlier","Normal")</f>
        <v>Normal</v>
      </c>
      <c r="E418">
        <v>7368</v>
      </c>
      <c r="F418" t="str">
        <f>IF(Table2_2[[#This Row],[Reviews]]&gt;$N$13,"Outlier"," Normal")</f>
        <v xml:space="preserve"> Normal</v>
      </c>
      <c r="G418">
        <v>7</v>
      </c>
      <c r="H418" t="str">
        <f>IF(Table2_2[[#This Row],[Price]]&gt;$N$20,"Outlier","Normal")</f>
        <v>Normal</v>
      </c>
      <c r="I418">
        <v>2018</v>
      </c>
      <c r="J418" t="str">
        <f>IF(Table2_2[[#This Row],[Year]]&gt;=2015,"Newer","Older")</f>
        <v>Newer</v>
      </c>
      <c r="K418" s="1" t="s">
        <v>8</v>
      </c>
    </row>
    <row r="419" spans="1:11" x14ac:dyDescent="0.35">
      <c r="A419" s="1" t="s">
        <v>466</v>
      </c>
      <c r="B419" s="1" t="s">
        <v>467</v>
      </c>
      <c r="C419">
        <v>4.7</v>
      </c>
      <c r="D419" t="str">
        <f>IF(Table2_2[[#This Row],[User_Rating]]&lt;4.164816,"Outlier","Normal")</f>
        <v>Normal</v>
      </c>
      <c r="E419">
        <v>4028</v>
      </c>
      <c r="F419" t="str">
        <f>IF(Table2_2[[#This Row],[Reviews]]&gt;$N$13,"Outlier"," Normal")</f>
        <v xml:space="preserve"> Normal</v>
      </c>
      <c r="G419">
        <v>9</v>
      </c>
      <c r="H419" t="str">
        <f>IF(Table2_2[[#This Row],[Price]]&gt;$N$20,"Outlier","Normal")</f>
        <v>Normal</v>
      </c>
      <c r="I419">
        <v>2009</v>
      </c>
      <c r="J419" t="str">
        <f>IF(Table2_2[[#This Row],[Year]]&gt;=2015,"Newer","Older")</f>
        <v>Older</v>
      </c>
      <c r="K419" s="1" t="s">
        <v>8</v>
      </c>
    </row>
    <row r="420" spans="1:11" x14ac:dyDescent="0.35">
      <c r="A420" s="1" t="s">
        <v>468</v>
      </c>
      <c r="B420" s="1" t="s">
        <v>332</v>
      </c>
      <c r="C420">
        <v>4.8</v>
      </c>
      <c r="D420" t="str">
        <f>IF(Table2_2[[#This Row],[User_Rating]]&lt;4.164816,"Outlier","Normal")</f>
        <v>Normal</v>
      </c>
      <c r="E420">
        <v>4628</v>
      </c>
      <c r="F420" t="str">
        <f>IF(Table2_2[[#This Row],[Reviews]]&gt;$N$13,"Outlier"," Normal")</f>
        <v xml:space="preserve"> Normal</v>
      </c>
      <c r="G420">
        <v>7</v>
      </c>
      <c r="H420" t="str">
        <f>IF(Table2_2[[#This Row],[Price]]&gt;$N$20,"Outlier","Normal")</f>
        <v>Normal</v>
      </c>
      <c r="I420">
        <v>2009</v>
      </c>
      <c r="J420" t="str">
        <f>IF(Table2_2[[#This Row],[Year]]&gt;=2015,"Newer","Older")</f>
        <v>Older</v>
      </c>
      <c r="K420" s="1" t="s">
        <v>11</v>
      </c>
    </row>
    <row r="421" spans="1:11" x14ac:dyDescent="0.35">
      <c r="A421" s="1" t="s">
        <v>468</v>
      </c>
      <c r="B421" s="1" t="s">
        <v>332</v>
      </c>
      <c r="C421">
        <v>4.8</v>
      </c>
      <c r="D421" t="str">
        <f>IF(Table2_2[[#This Row],[User_Rating]]&lt;4.164816,"Outlier","Normal")</f>
        <v>Normal</v>
      </c>
      <c r="E421">
        <v>4628</v>
      </c>
      <c r="F421" t="str">
        <f>IF(Table2_2[[#This Row],[Reviews]]&gt;$N$13,"Outlier"," Normal")</f>
        <v xml:space="preserve"> Normal</v>
      </c>
      <c r="G421">
        <v>7</v>
      </c>
      <c r="H421" t="str">
        <f>IF(Table2_2[[#This Row],[Price]]&gt;$N$20,"Outlier","Normal")</f>
        <v>Normal</v>
      </c>
      <c r="I421">
        <v>2010</v>
      </c>
      <c r="J421" t="str">
        <f>IF(Table2_2[[#This Row],[Year]]&gt;=2015,"Newer","Older")</f>
        <v>Older</v>
      </c>
      <c r="K421" s="1" t="s">
        <v>11</v>
      </c>
    </row>
    <row r="422" spans="1:11" x14ac:dyDescent="0.35">
      <c r="A422" s="1" t="s">
        <v>469</v>
      </c>
      <c r="B422" s="1" t="s">
        <v>470</v>
      </c>
      <c r="C422">
        <v>4.9000000000000004</v>
      </c>
      <c r="D422" t="str">
        <f>IF(Table2_2[[#This Row],[User_Rating]]&lt;4.164816,"Outlier","Normal")</f>
        <v>Normal</v>
      </c>
      <c r="E422">
        <v>5396</v>
      </c>
      <c r="F422" t="str">
        <f>IF(Table2_2[[#This Row],[Reviews]]&gt;$N$13,"Outlier"," Normal")</f>
        <v xml:space="preserve"> Normal</v>
      </c>
      <c r="G422">
        <v>20</v>
      </c>
      <c r="H422" t="str">
        <f>IF(Table2_2[[#This Row],[Price]]&gt;$N$20,"Outlier","Normal")</f>
        <v>Normal</v>
      </c>
      <c r="I422">
        <v>2013</v>
      </c>
      <c r="J422" t="str">
        <f>IF(Table2_2[[#This Row],[Year]]&gt;=2015,"Newer","Older")</f>
        <v>Older</v>
      </c>
      <c r="K422" s="1" t="s">
        <v>11</v>
      </c>
    </row>
    <row r="423" spans="1:11" x14ac:dyDescent="0.35">
      <c r="A423" s="1" t="s">
        <v>471</v>
      </c>
      <c r="B423" s="1" t="s">
        <v>472</v>
      </c>
      <c r="C423">
        <v>4.4000000000000004</v>
      </c>
      <c r="D423" t="str">
        <f>IF(Table2_2[[#This Row],[User_Rating]]&lt;4.164816,"Outlier","Normal")</f>
        <v>Normal</v>
      </c>
      <c r="E423">
        <v>4247</v>
      </c>
      <c r="F423" t="str">
        <f>IF(Table2_2[[#This Row],[Reviews]]&gt;$N$13,"Outlier"," Normal")</f>
        <v xml:space="preserve"> Normal</v>
      </c>
      <c r="G423">
        <v>13</v>
      </c>
      <c r="H423" t="str">
        <f>IF(Table2_2[[#This Row],[Price]]&gt;$N$20,"Outlier","Normal")</f>
        <v>Normal</v>
      </c>
      <c r="I423">
        <v>2011</v>
      </c>
      <c r="J423" t="str">
        <f>IF(Table2_2[[#This Row],[Year]]&gt;=2015,"Newer","Older")</f>
        <v>Older</v>
      </c>
      <c r="K423" s="1" t="s">
        <v>8</v>
      </c>
    </row>
    <row r="424" spans="1:11" x14ac:dyDescent="0.35">
      <c r="A424" s="1" t="s">
        <v>471</v>
      </c>
      <c r="B424" s="1" t="s">
        <v>472</v>
      </c>
      <c r="C424">
        <v>4.4000000000000004</v>
      </c>
      <c r="D424" t="str">
        <f>IF(Table2_2[[#This Row],[User_Rating]]&lt;4.164816,"Outlier","Normal")</f>
        <v>Normal</v>
      </c>
      <c r="E424">
        <v>4247</v>
      </c>
      <c r="F424" t="str">
        <f>IF(Table2_2[[#This Row],[Reviews]]&gt;$N$13,"Outlier"," Normal")</f>
        <v xml:space="preserve"> Normal</v>
      </c>
      <c r="G424">
        <v>13</v>
      </c>
      <c r="H424" t="str">
        <f>IF(Table2_2[[#This Row],[Price]]&gt;$N$20,"Outlier","Normal")</f>
        <v>Normal</v>
      </c>
      <c r="I424">
        <v>2012</v>
      </c>
      <c r="J424" t="str">
        <f>IF(Table2_2[[#This Row],[Year]]&gt;=2015,"Newer","Older")</f>
        <v>Older</v>
      </c>
      <c r="K424" s="1" t="s">
        <v>8</v>
      </c>
    </row>
    <row r="425" spans="1:11" x14ac:dyDescent="0.35">
      <c r="A425" s="1" t="s">
        <v>473</v>
      </c>
      <c r="B425" s="1" t="s">
        <v>474</v>
      </c>
      <c r="C425">
        <v>4.5</v>
      </c>
      <c r="D425" t="str">
        <f>IF(Table2_2[[#This Row],[User_Rating]]&lt;4.164816,"Outlier","Normal")</f>
        <v>Normal</v>
      </c>
      <c r="E425">
        <v>22641</v>
      </c>
      <c r="F425" t="str">
        <f>IF(Table2_2[[#This Row],[Reviews]]&gt;$N$13,"Outlier"," Normal")</f>
        <v xml:space="preserve"> Normal</v>
      </c>
      <c r="G425">
        <v>11</v>
      </c>
      <c r="H425" t="str">
        <f>IF(Table2_2[[#This Row],[Price]]&gt;$N$20,"Outlier","Normal")</f>
        <v>Normal</v>
      </c>
      <c r="I425">
        <v>2015</v>
      </c>
      <c r="J425" t="str">
        <f>IF(Table2_2[[#This Row],[Year]]&gt;=2015,"Newer","Older")</f>
        <v>Newer</v>
      </c>
      <c r="K425" s="1" t="s">
        <v>8</v>
      </c>
    </row>
    <row r="426" spans="1:11" x14ac:dyDescent="0.35">
      <c r="A426" s="1" t="s">
        <v>473</v>
      </c>
      <c r="B426" s="1" t="s">
        <v>474</v>
      </c>
      <c r="C426">
        <v>4.5</v>
      </c>
      <c r="D426" t="str">
        <f>IF(Table2_2[[#This Row],[User_Rating]]&lt;4.164816,"Outlier","Normal")</f>
        <v>Normal</v>
      </c>
      <c r="E426">
        <v>22641</v>
      </c>
      <c r="F426" t="str">
        <f>IF(Table2_2[[#This Row],[Reviews]]&gt;$N$13,"Outlier"," Normal")</f>
        <v xml:space="preserve"> Normal</v>
      </c>
      <c r="G426">
        <v>11</v>
      </c>
      <c r="H426" t="str">
        <f>IF(Table2_2[[#This Row],[Price]]&gt;$N$20,"Outlier","Normal")</f>
        <v>Normal</v>
      </c>
      <c r="I426">
        <v>2016</v>
      </c>
      <c r="J426" t="str">
        <f>IF(Table2_2[[#This Row],[Year]]&gt;=2015,"Newer","Older")</f>
        <v>Newer</v>
      </c>
      <c r="K426" s="1" t="s">
        <v>8</v>
      </c>
    </row>
    <row r="427" spans="1:11" x14ac:dyDescent="0.35">
      <c r="A427" s="1" t="s">
        <v>473</v>
      </c>
      <c r="B427" s="1" t="s">
        <v>474</v>
      </c>
      <c r="C427">
        <v>4.5</v>
      </c>
      <c r="D427" t="str">
        <f>IF(Table2_2[[#This Row],[User_Rating]]&lt;4.164816,"Outlier","Normal")</f>
        <v>Normal</v>
      </c>
      <c r="E427">
        <v>22641</v>
      </c>
      <c r="F427" t="str">
        <f>IF(Table2_2[[#This Row],[Reviews]]&gt;$N$13,"Outlier"," Normal")</f>
        <v xml:space="preserve"> Normal</v>
      </c>
      <c r="G427">
        <v>11</v>
      </c>
      <c r="H427" t="str">
        <f>IF(Table2_2[[#This Row],[Price]]&gt;$N$20,"Outlier","Normal")</f>
        <v>Normal</v>
      </c>
      <c r="I427">
        <v>2017</v>
      </c>
      <c r="J427" t="str">
        <f>IF(Table2_2[[#This Row],[Year]]&gt;=2015,"Newer","Older")</f>
        <v>Newer</v>
      </c>
      <c r="K427" s="1" t="s">
        <v>8</v>
      </c>
    </row>
    <row r="428" spans="1:11" x14ac:dyDescent="0.35">
      <c r="A428" s="1" t="s">
        <v>473</v>
      </c>
      <c r="B428" s="1" t="s">
        <v>474</v>
      </c>
      <c r="C428">
        <v>4.5</v>
      </c>
      <c r="D428" t="str">
        <f>IF(Table2_2[[#This Row],[User_Rating]]&lt;4.164816,"Outlier","Normal")</f>
        <v>Normal</v>
      </c>
      <c r="E428">
        <v>22641</v>
      </c>
      <c r="F428" t="str">
        <f>IF(Table2_2[[#This Row],[Reviews]]&gt;$N$13,"Outlier"," Normal")</f>
        <v xml:space="preserve"> Normal</v>
      </c>
      <c r="G428">
        <v>11</v>
      </c>
      <c r="H428" t="str">
        <f>IF(Table2_2[[#This Row],[Price]]&gt;$N$20,"Outlier","Normal")</f>
        <v>Normal</v>
      </c>
      <c r="I428">
        <v>2019</v>
      </c>
      <c r="J428" t="str">
        <f>IF(Table2_2[[#This Row],[Year]]&gt;=2015,"Newer","Older")</f>
        <v>Newer</v>
      </c>
      <c r="K428" s="1" t="s">
        <v>8</v>
      </c>
    </row>
    <row r="429" spans="1:11" x14ac:dyDescent="0.35">
      <c r="A429" s="1" t="s">
        <v>475</v>
      </c>
      <c r="B429" s="1" t="s">
        <v>376</v>
      </c>
      <c r="C429">
        <v>4.4000000000000004</v>
      </c>
      <c r="D429" t="str">
        <f>IF(Table2_2[[#This Row],[User_Rating]]&lt;4.164816,"Outlier","Normal")</f>
        <v>Normal</v>
      </c>
      <c r="E429">
        <v>6222</v>
      </c>
      <c r="F429" t="str">
        <f>IF(Table2_2[[#This Row],[Reviews]]&gt;$N$13,"Outlier"," Normal")</f>
        <v xml:space="preserve"> Normal</v>
      </c>
      <c r="G429">
        <v>18</v>
      </c>
      <c r="H429" t="str">
        <f>IF(Table2_2[[#This Row],[Price]]&gt;$N$20,"Outlier","Normal")</f>
        <v>Normal</v>
      </c>
      <c r="I429">
        <v>2011</v>
      </c>
      <c r="J429" t="str">
        <f>IF(Table2_2[[#This Row],[Year]]&gt;=2015,"Newer","Older")</f>
        <v>Older</v>
      </c>
      <c r="K429" s="1" t="s">
        <v>11</v>
      </c>
    </row>
    <row r="430" spans="1:11" x14ac:dyDescent="0.35">
      <c r="A430" s="1" t="s">
        <v>476</v>
      </c>
      <c r="B430" s="1" t="s">
        <v>332</v>
      </c>
      <c r="C430">
        <v>4.8</v>
      </c>
      <c r="D430" t="str">
        <f>IF(Table2_2[[#This Row],[User_Rating]]&lt;4.164816,"Outlier","Normal")</f>
        <v>Normal</v>
      </c>
      <c r="E430">
        <v>4506</v>
      </c>
      <c r="F430" t="str">
        <f>IF(Table2_2[[#This Row],[Reviews]]&gt;$N$13,"Outlier"," Normal")</f>
        <v xml:space="preserve"> Normal</v>
      </c>
      <c r="G430">
        <v>14</v>
      </c>
      <c r="H430" t="str">
        <f>IF(Table2_2[[#This Row],[Price]]&gt;$N$20,"Outlier","Normal")</f>
        <v>Normal</v>
      </c>
      <c r="I430">
        <v>2010</v>
      </c>
      <c r="J430" t="str">
        <f>IF(Table2_2[[#This Row],[Year]]&gt;=2015,"Newer","Older")</f>
        <v>Older</v>
      </c>
      <c r="K430" s="1" t="s">
        <v>11</v>
      </c>
    </row>
    <row r="431" spans="1:11" x14ac:dyDescent="0.35">
      <c r="A431" s="1" t="s">
        <v>477</v>
      </c>
      <c r="B431" s="1" t="s">
        <v>244</v>
      </c>
      <c r="C431">
        <v>4.2</v>
      </c>
      <c r="D431" t="str">
        <f>IF(Table2_2[[#This Row],[User_Rating]]&lt;4.164816,"Outlier","Normal")</f>
        <v>Normal</v>
      </c>
      <c r="E431">
        <v>8747</v>
      </c>
      <c r="F431" t="str">
        <f>IF(Table2_2[[#This Row],[Reviews]]&gt;$N$13,"Outlier"," Normal")</f>
        <v xml:space="preserve"> Normal</v>
      </c>
      <c r="G431">
        <v>19</v>
      </c>
      <c r="H431" t="str">
        <f>IF(Table2_2[[#This Row],[Price]]&gt;$N$20,"Outlier","Normal")</f>
        <v>Normal</v>
      </c>
      <c r="I431">
        <v>2009</v>
      </c>
      <c r="J431" t="str">
        <f>IF(Table2_2[[#This Row],[Year]]&gt;=2015,"Newer","Older")</f>
        <v>Older</v>
      </c>
      <c r="K431" s="1" t="s">
        <v>11</v>
      </c>
    </row>
    <row r="432" spans="1:11" x14ac:dyDescent="0.35">
      <c r="A432" s="1" t="s">
        <v>478</v>
      </c>
      <c r="B432" s="1" t="s">
        <v>479</v>
      </c>
      <c r="C432">
        <v>4.8</v>
      </c>
      <c r="D432" t="str">
        <f>IF(Table2_2[[#This Row],[User_Rating]]&lt;4.164816,"Outlier","Normal")</f>
        <v>Normal</v>
      </c>
      <c r="E432">
        <v>1655</v>
      </c>
      <c r="F432" t="str">
        <f>IF(Table2_2[[#This Row],[Reviews]]&gt;$N$13,"Outlier"," Normal")</f>
        <v xml:space="preserve"> Normal</v>
      </c>
      <c r="G432">
        <v>13</v>
      </c>
      <c r="H432" t="str">
        <f>IF(Table2_2[[#This Row],[Price]]&gt;$N$20,"Outlier","Normal")</f>
        <v>Normal</v>
      </c>
      <c r="I432">
        <v>2009</v>
      </c>
      <c r="J432" t="str">
        <f>IF(Table2_2[[#This Row],[Year]]&gt;=2015,"Newer","Older")</f>
        <v>Older</v>
      </c>
      <c r="K432" s="1" t="s">
        <v>8</v>
      </c>
    </row>
    <row r="433" spans="1:11" x14ac:dyDescent="0.35">
      <c r="A433" s="1" t="s">
        <v>480</v>
      </c>
      <c r="B433" s="1" t="s">
        <v>481</v>
      </c>
      <c r="C433">
        <v>4.9000000000000004</v>
      </c>
      <c r="D433" t="str">
        <f>IF(Table2_2[[#This Row],[User_Rating]]&lt;4.164816,"Outlier","Normal")</f>
        <v>Normal</v>
      </c>
      <c r="E433">
        <v>7861</v>
      </c>
      <c r="F433" t="str">
        <f>IF(Table2_2[[#This Row],[Reviews]]&gt;$N$13,"Outlier"," Normal")</f>
        <v xml:space="preserve"> Normal</v>
      </c>
      <c r="G433">
        <v>5</v>
      </c>
      <c r="H433" t="str">
        <f>IF(Table2_2[[#This Row],[Price]]&gt;$N$20,"Outlier","Normal")</f>
        <v>Normal</v>
      </c>
      <c r="I433">
        <v>2016</v>
      </c>
      <c r="J433" t="str">
        <f>IF(Table2_2[[#This Row],[Year]]&gt;=2015,"Newer","Older")</f>
        <v>Newer</v>
      </c>
      <c r="K433" s="1" t="s">
        <v>8</v>
      </c>
    </row>
    <row r="434" spans="1:11" x14ac:dyDescent="0.35">
      <c r="A434" s="1" t="s">
        <v>482</v>
      </c>
      <c r="B434" s="1" t="s">
        <v>332</v>
      </c>
      <c r="C434">
        <v>4.8</v>
      </c>
      <c r="D434" t="str">
        <f>IF(Table2_2[[#This Row],[User_Rating]]&lt;4.164816,"Outlier","Normal")</f>
        <v>Normal</v>
      </c>
      <c r="E434">
        <v>6247</v>
      </c>
      <c r="F434" t="str">
        <f>IF(Table2_2[[#This Row],[Reviews]]&gt;$N$13,"Outlier"," Normal")</f>
        <v xml:space="preserve"> Normal</v>
      </c>
      <c r="G434">
        <v>10</v>
      </c>
      <c r="H434" t="str">
        <f>IF(Table2_2[[#This Row],[Price]]&gt;$N$20,"Outlier","Normal")</f>
        <v>Normal</v>
      </c>
      <c r="I434">
        <v>2012</v>
      </c>
      <c r="J434" t="str">
        <f>IF(Table2_2[[#This Row],[Year]]&gt;=2015,"Newer","Older")</f>
        <v>Older</v>
      </c>
      <c r="K434" s="1" t="s">
        <v>11</v>
      </c>
    </row>
    <row r="435" spans="1:11" x14ac:dyDescent="0.35">
      <c r="A435" s="1" t="s">
        <v>483</v>
      </c>
      <c r="B435" s="1" t="s">
        <v>484</v>
      </c>
      <c r="C435">
        <v>4.7</v>
      </c>
      <c r="D435" t="str">
        <f>IF(Table2_2[[#This Row],[User_Rating]]&lt;4.164816,"Outlier","Normal")</f>
        <v>Normal</v>
      </c>
      <c r="E435">
        <v>39459</v>
      </c>
      <c r="F435" t="str">
        <f>IF(Table2_2[[#This Row],[Reviews]]&gt;$N$13,"Outlier"," Normal")</f>
        <v>Outlier</v>
      </c>
      <c r="G435">
        <v>9</v>
      </c>
      <c r="H435" t="str">
        <f>IF(Table2_2[[#This Row],[Price]]&gt;$N$20,"Outlier","Normal")</f>
        <v>Normal</v>
      </c>
      <c r="I435">
        <v>2015</v>
      </c>
      <c r="J435" t="str">
        <f>IF(Table2_2[[#This Row],[Year]]&gt;=2015,"Newer","Older")</f>
        <v>Newer</v>
      </c>
      <c r="K435" s="1" t="s">
        <v>11</v>
      </c>
    </row>
    <row r="436" spans="1:11" x14ac:dyDescent="0.35">
      <c r="A436" s="1" t="s">
        <v>485</v>
      </c>
      <c r="B436" s="1" t="s">
        <v>486</v>
      </c>
      <c r="C436">
        <v>4.5</v>
      </c>
      <c r="D436" t="str">
        <f>IF(Table2_2[[#This Row],[User_Rating]]&lt;4.164816,"Outlier","Normal")</f>
        <v>Normal</v>
      </c>
      <c r="E436">
        <v>10101</v>
      </c>
      <c r="F436" t="str">
        <f>IF(Table2_2[[#This Row],[Reviews]]&gt;$N$13,"Outlier"," Normal")</f>
        <v xml:space="preserve"> Normal</v>
      </c>
      <c r="G436">
        <v>8</v>
      </c>
      <c r="H436" t="str">
        <f>IF(Table2_2[[#This Row],[Price]]&gt;$N$20,"Outlier","Normal")</f>
        <v>Normal</v>
      </c>
      <c r="I436">
        <v>2014</v>
      </c>
      <c r="J436" t="str">
        <f>IF(Table2_2[[#This Row],[Year]]&gt;=2015,"Newer","Older")</f>
        <v>Older</v>
      </c>
      <c r="K436" s="1" t="s">
        <v>11</v>
      </c>
    </row>
    <row r="437" spans="1:11" x14ac:dyDescent="0.35">
      <c r="A437" s="1" t="s">
        <v>487</v>
      </c>
      <c r="B437" s="1" t="s">
        <v>79</v>
      </c>
      <c r="C437">
        <v>4.8</v>
      </c>
      <c r="D437" t="str">
        <f>IF(Table2_2[[#This Row],[User_Rating]]&lt;4.164816,"Outlier","Normal")</f>
        <v>Normal</v>
      </c>
      <c r="E437">
        <v>5898</v>
      </c>
      <c r="F437" t="str">
        <f>IF(Table2_2[[#This Row],[Reviews]]&gt;$N$13,"Outlier"," Normal")</f>
        <v xml:space="preserve"> Normal</v>
      </c>
      <c r="G437">
        <v>8</v>
      </c>
      <c r="H437" t="str">
        <f>IF(Table2_2[[#This Row],[Price]]&gt;$N$20,"Outlier","Normal")</f>
        <v>Normal</v>
      </c>
      <c r="I437">
        <v>2018</v>
      </c>
      <c r="J437" t="str">
        <f>IF(Table2_2[[#This Row],[Year]]&gt;=2015,"Newer","Older")</f>
        <v>Newer</v>
      </c>
      <c r="K437" s="1" t="s">
        <v>11</v>
      </c>
    </row>
    <row r="438" spans="1:11" x14ac:dyDescent="0.35">
      <c r="A438" s="1" t="s">
        <v>488</v>
      </c>
      <c r="B438" s="1" t="s">
        <v>489</v>
      </c>
      <c r="C438">
        <v>4.5999999999999996</v>
      </c>
      <c r="D438" t="str">
        <f>IF(Table2_2[[#This Row],[User_Rating]]&lt;4.164816,"Outlier","Normal")</f>
        <v>Normal</v>
      </c>
      <c r="E438">
        <v>2744</v>
      </c>
      <c r="F438" t="str">
        <f>IF(Table2_2[[#This Row],[Reviews]]&gt;$N$13,"Outlier"," Normal")</f>
        <v xml:space="preserve"> Normal</v>
      </c>
      <c r="G438">
        <v>12</v>
      </c>
      <c r="H438" t="str">
        <f>IF(Table2_2[[#This Row],[Price]]&gt;$N$20,"Outlier","Normal")</f>
        <v>Normal</v>
      </c>
      <c r="I438">
        <v>2019</v>
      </c>
      <c r="J438" t="str">
        <f>IF(Table2_2[[#This Row],[Year]]&gt;=2015,"Newer","Older")</f>
        <v>Newer</v>
      </c>
      <c r="K438" s="1" t="s">
        <v>8</v>
      </c>
    </row>
    <row r="439" spans="1:11" x14ac:dyDescent="0.35">
      <c r="A439" s="1" t="s">
        <v>490</v>
      </c>
      <c r="B439" s="1" t="s">
        <v>491</v>
      </c>
      <c r="C439">
        <v>4.8</v>
      </c>
      <c r="D439" t="str">
        <f>IF(Table2_2[[#This Row],[User_Rating]]&lt;4.164816,"Outlier","Normal")</f>
        <v>Normal</v>
      </c>
      <c r="E439">
        <v>49288</v>
      </c>
      <c r="F439" t="str">
        <f>IF(Table2_2[[#This Row],[Reviews]]&gt;$N$13,"Outlier"," Normal")</f>
        <v>Outlier</v>
      </c>
      <c r="G439">
        <v>11</v>
      </c>
      <c r="H439" t="str">
        <f>IF(Table2_2[[#This Row],[Price]]&gt;$N$20,"Outlier","Normal")</f>
        <v>Normal</v>
      </c>
      <c r="I439">
        <v>2015</v>
      </c>
      <c r="J439" t="str">
        <f>IF(Table2_2[[#This Row],[Year]]&gt;=2015,"Newer","Older")</f>
        <v>Newer</v>
      </c>
      <c r="K439" s="1" t="s">
        <v>11</v>
      </c>
    </row>
    <row r="440" spans="1:11" x14ac:dyDescent="0.35">
      <c r="A440" s="1" t="s">
        <v>490</v>
      </c>
      <c r="B440" s="1" t="s">
        <v>491</v>
      </c>
      <c r="C440">
        <v>4.8</v>
      </c>
      <c r="D440" t="str">
        <f>IF(Table2_2[[#This Row],[User_Rating]]&lt;4.164816,"Outlier","Normal")</f>
        <v>Normal</v>
      </c>
      <c r="E440">
        <v>49288</v>
      </c>
      <c r="F440" t="str">
        <f>IF(Table2_2[[#This Row],[Reviews]]&gt;$N$13,"Outlier"," Normal")</f>
        <v>Outlier</v>
      </c>
      <c r="G440">
        <v>11</v>
      </c>
      <c r="H440" t="str">
        <f>IF(Table2_2[[#This Row],[Price]]&gt;$N$20,"Outlier","Normal")</f>
        <v>Normal</v>
      </c>
      <c r="I440">
        <v>2016</v>
      </c>
      <c r="J440" t="str">
        <f>IF(Table2_2[[#This Row],[Year]]&gt;=2015,"Newer","Older")</f>
        <v>Newer</v>
      </c>
      <c r="K440" s="1" t="s">
        <v>11</v>
      </c>
    </row>
    <row r="441" spans="1:11" x14ac:dyDescent="0.35">
      <c r="A441" s="1" t="s">
        <v>492</v>
      </c>
      <c r="B441" s="1" t="s">
        <v>493</v>
      </c>
      <c r="C441">
        <v>4.4000000000000004</v>
      </c>
      <c r="D441" t="str">
        <f>IF(Table2_2[[#This Row],[User_Rating]]&lt;4.164816,"Outlier","Normal")</f>
        <v>Normal</v>
      </c>
      <c r="E441">
        <v>1201</v>
      </c>
      <c r="F441" t="str">
        <f>IF(Table2_2[[#This Row],[Reviews]]&gt;$N$13,"Outlier"," Normal")</f>
        <v xml:space="preserve"> Normal</v>
      </c>
      <c r="G441">
        <v>40</v>
      </c>
      <c r="H441" t="str">
        <f>IF(Table2_2[[#This Row],[Price]]&gt;$N$20,"Outlier","Normal")</f>
        <v>Outlier</v>
      </c>
      <c r="I441">
        <v>2010</v>
      </c>
      <c r="J441" t="str">
        <f>IF(Table2_2[[#This Row],[Year]]&gt;=2015,"Newer","Older")</f>
        <v>Older</v>
      </c>
      <c r="K441" s="1" t="s">
        <v>8</v>
      </c>
    </row>
    <row r="442" spans="1:11" x14ac:dyDescent="0.35">
      <c r="A442" s="1" t="s">
        <v>492</v>
      </c>
      <c r="B442" s="1" t="s">
        <v>493</v>
      </c>
      <c r="C442">
        <v>4.4000000000000004</v>
      </c>
      <c r="D442" t="str">
        <f>IF(Table2_2[[#This Row],[User_Rating]]&lt;4.164816,"Outlier","Normal")</f>
        <v>Normal</v>
      </c>
      <c r="E442">
        <v>1201</v>
      </c>
      <c r="F442" t="str">
        <f>IF(Table2_2[[#This Row],[Reviews]]&gt;$N$13,"Outlier"," Normal")</f>
        <v xml:space="preserve"> Normal</v>
      </c>
      <c r="G442">
        <v>40</v>
      </c>
      <c r="H442" t="str">
        <f>IF(Table2_2[[#This Row],[Price]]&gt;$N$20,"Outlier","Normal")</f>
        <v>Outlier</v>
      </c>
      <c r="I442">
        <v>2011</v>
      </c>
      <c r="J442" t="str">
        <f>IF(Table2_2[[#This Row],[Year]]&gt;=2015,"Newer","Older")</f>
        <v>Older</v>
      </c>
      <c r="K442" s="1" t="s">
        <v>8</v>
      </c>
    </row>
    <row r="443" spans="1:11" x14ac:dyDescent="0.35">
      <c r="A443" s="1" t="s">
        <v>492</v>
      </c>
      <c r="B443" s="1" t="s">
        <v>493</v>
      </c>
      <c r="C443">
        <v>4.4000000000000004</v>
      </c>
      <c r="D443" t="str">
        <f>IF(Table2_2[[#This Row],[User_Rating]]&lt;4.164816,"Outlier","Normal")</f>
        <v>Normal</v>
      </c>
      <c r="E443">
        <v>1201</v>
      </c>
      <c r="F443" t="str">
        <f>IF(Table2_2[[#This Row],[Reviews]]&gt;$N$13,"Outlier"," Normal")</f>
        <v xml:space="preserve"> Normal</v>
      </c>
      <c r="G443">
        <v>40</v>
      </c>
      <c r="H443" t="str">
        <f>IF(Table2_2[[#This Row],[Price]]&gt;$N$20,"Outlier","Normal")</f>
        <v>Outlier</v>
      </c>
      <c r="I443">
        <v>2012</v>
      </c>
      <c r="J443" t="str">
        <f>IF(Table2_2[[#This Row],[Year]]&gt;=2015,"Newer","Older")</f>
        <v>Older</v>
      </c>
      <c r="K443" s="1" t="s">
        <v>8</v>
      </c>
    </row>
    <row r="444" spans="1:11" x14ac:dyDescent="0.35">
      <c r="A444" s="1" t="s">
        <v>492</v>
      </c>
      <c r="B444" s="1" t="s">
        <v>493</v>
      </c>
      <c r="C444">
        <v>4.4000000000000004</v>
      </c>
      <c r="D444" t="str">
        <f>IF(Table2_2[[#This Row],[User_Rating]]&lt;4.164816,"Outlier","Normal")</f>
        <v>Normal</v>
      </c>
      <c r="E444">
        <v>1201</v>
      </c>
      <c r="F444" t="str">
        <f>IF(Table2_2[[#This Row],[Reviews]]&gt;$N$13,"Outlier"," Normal")</f>
        <v xml:space="preserve"> Normal</v>
      </c>
      <c r="G444">
        <v>40</v>
      </c>
      <c r="H444" t="str">
        <f>IF(Table2_2[[#This Row],[Price]]&gt;$N$20,"Outlier","Normal")</f>
        <v>Outlier</v>
      </c>
      <c r="I444">
        <v>2013</v>
      </c>
      <c r="J444" t="str">
        <f>IF(Table2_2[[#This Row],[Year]]&gt;=2015,"Newer","Older")</f>
        <v>Older</v>
      </c>
      <c r="K444" s="1" t="s">
        <v>8</v>
      </c>
    </row>
    <row r="445" spans="1:11" x14ac:dyDescent="0.35">
      <c r="A445" s="1" t="s">
        <v>492</v>
      </c>
      <c r="B445" s="1" t="s">
        <v>493</v>
      </c>
      <c r="C445">
        <v>4.4000000000000004</v>
      </c>
      <c r="D445" t="str">
        <f>IF(Table2_2[[#This Row],[User_Rating]]&lt;4.164816,"Outlier","Normal")</f>
        <v>Normal</v>
      </c>
      <c r="E445">
        <v>1201</v>
      </c>
      <c r="F445" t="str">
        <f>IF(Table2_2[[#This Row],[Reviews]]&gt;$N$13,"Outlier"," Normal")</f>
        <v xml:space="preserve"> Normal</v>
      </c>
      <c r="G445">
        <v>40</v>
      </c>
      <c r="H445" t="str">
        <f>IF(Table2_2[[#This Row],[Price]]&gt;$N$20,"Outlier","Normal")</f>
        <v>Outlier</v>
      </c>
      <c r="I445">
        <v>2014</v>
      </c>
      <c r="J445" t="str">
        <f>IF(Table2_2[[#This Row],[Year]]&gt;=2015,"Newer","Older")</f>
        <v>Older</v>
      </c>
      <c r="K445" s="1" t="s">
        <v>8</v>
      </c>
    </row>
    <row r="446" spans="1:11" x14ac:dyDescent="0.35">
      <c r="A446" s="1" t="s">
        <v>494</v>
      </c>
      <c r="B446" s="1" t="s">
        <v>493</v>
      </c>
      <c r="C446">
        <v>4.3</v>
      </c>
      <c r="D446" t="str">
        <f>IF(Table2_2[[#This Row],[User_Rating]]&lt;4.164816,"Outlier","Normal")</f>
        <v>Normal</v>
      </c>
      <c r="E446">
        <v>807</v>
      </c>
      <c r="F446" t="str">
        <f>IF(Table2_2[[#This Row],[Reviews]]&gt;$N$13,"Outlier"," Normal")</f>
        <v xml:space="preserve"> Normal</v>
      </c>
      <c r="G446">
        <v>36</v>
      </c>
      <c r="H446" t="str">
        <f>IF(Table2_2[[#This Row],[Price]]&gt;$N$20,"Outlier","Normal")</f>
        <v>Outlier</v>
      </c>
      <c r="I446">
        <v>2016</v>
      </c>
      <c r="J446" t="str">
        <f>IF(Table2_2[[#This Row],[Year]]&gt;=2015,"Newer","Older")</f>
        <v>Newer</v>
      </c>
      <c r="K446" s="1" t="s">
        <v>8</v>
      </c>
    </row>
    <row r="447" spans="1:11" x14ac:dyDescent="0.35">
      <c r="A447" s="1" t="s">
        <v>495</v>
      </c>
      <c r="B447" s="1" t="s">
        <v>496</v>
      </c>
      <c r="C447">
        <v>4.3</v>
      </c>
      <c r="D447" t="str">
        <f>IF(Table2_2[[#This Row],[User_Rating]]&lt;4.164816,"Outlier","Normal")</f>
        <v>Normal</v>
      </c>
      <c r="E447">
        <v>3759</v>
      </c>
      <c r="F447" t="str">
        <f>IF(Table2_2[[#This Row],[Reviews]]&gt;$N$13,"Outlier"," Normal")</f>
        <v xml:space="preserve"> Normal</v>
      </c>
      <c r="G447">
        <v>16</v>
      </c>
      <c r="H447" t="str">
        <f>IF(Table2_2[[#This Row],[Price]]&gt;$N$20,"Outlier","Normal")</f>
        <v>Normal</v>
      </c>
      <c r="I447">
        <v>2011</v>
      </c>
      <c r="J447" t="str">
        <f>IF(Table2_2[[#This Row],[Year]]&gt;=2015,"Newer","Older")</f>
        <v>Older</v>
      </c>
      <c r="K447" s="1" t="s">
        <v>11</v>
      </c>
    </row>
    <row r="448" spans="1:11" x14ac:dyDescent="0.35">
      <c r="A448" s="1" t="s">
        <v>497</v>
      </c>
      <c r="B448" s="1" t="s">
        <v>498</v>
      </c>
      <c r="C448">
        <v>4.8</v>
      </c>
      <c r="D448" t="str">
        <f>IF(Table2_2[[#This Row],[User_Rating]]&lt;4.164816,"Outlier","Normal")</f>
        <v>Normal</v>
      </c>
      <c r="E448">
        <v>2663</v>
      </c>
      <c r="F448" t="str">
        <f>IF(Table2_2[[#This Row],[Reviews]]&gt;$N$13,"Outlier"," Normal")</f>
        <v xml:space="preserve"> Normal</v>
      </c>
      <c r="G448">
        <v>17</v>
      </c>
      <c r="H448" t="str">
        <f>IF(Table2_2[[#This Row],[Price]]&gt;$N$20,"Outlier","Normal")</f>
        <v>Normal</v>
      </c>
      <c r="I448">
        <v>2013</v>
      </c>
      <c r="J448" t="str">
        <f>IF(Table2_2[[#This Row],[Year]]&gt;=2015,"Newer","Older")</f>
        <v>Older</v>
      </c>
      <c r="K448" s="1" t="s">
        <v>8</v>
      </c>
    </row>
    <row r="449" spans="1:11" x14ac:dyDescent="0.35">
      <c r="A449" s="1" t="s">
        <v>499</v>
      </c>
      <c r="B449" s="1" t="s">
        <v>498</v>
      </c>
      <c r="C449">
        <v>4.8</v>
      </c>
      <c r="D449" t="str">
        <f>IF(Table2_2[[#This Row],[User_Rating]]&lt;4.164816,"Outlier","Normal")</f>
        <v>Normal</v>
      </c>
      <c r="E449">
        <v>3428</v>
      </c>
      <c r="F449" t="str">
        <f>IF(Table2_2[[#This Row],[Reviews]]&gt;$N$13,"Outlier"," Normal")</f>
        <v xml:space="preserve"> Normal</v>
      </c>
      <c r="G449">
        <v>14</v>
      </c>
      <c r="H449" t="str">
        <f>IF(Table2_2[[#This Row],[Price]]&gt;$N$20,"Outlier","Normal")</f>
        <v>Normal</v>
      </c>
      <c r="I449">
        <v>2015</v>
      </c>
      <c r="J449" t="str">
        <f>IF(Table2_2[[#This Row],[Year]]&gt;=2015,"Newer","Older")</f>
        <v>Newer</v>
      </c>
      <c r="K449" s="1" t="s">
        <v>8</v>
      </c>
    </row>
    <row r="450" spans="1:11" x14ac:dyDescent="0.35">
      <c r="A450" s="1" t="s">
        <v>500</v>
      </c>
      <c r="B450" s="1" t="s">
        <v>498</v>
      </c>
      <c r="C450">
        <v>4.8</v>
      </c>
      <c r="D450" t="str">
        <f>IF(Table2_2[[#This Row],[User_Rating]]&lt;4.164816,"Outlier","Normal")</f>
        <v>Normal</v>
      </c>
      <c r="E450">
        <v>2876</v>
      </c>
      <c r="F450" t="str">
        <f>IF(Table2_2[[#This Row],[Reviews]]&gt;$N$13,"Outlier"," Normal")</f>
        <v xml:space="preserve"> Normal</v>
      </c>
      <c r="G450">
        <v>21</v>
      </c>
      <c r="H450" t="str">
        <f>IF(Table2_2[[#This Row],[Price]]&gt;$N$20,"Outlier","Normal")</f>
        <v>Normal</v>
      </c>
      <c r="I450">
        <v>2012</v>
      </c>
      <c r="J450" t="str">
        <f>IF(Table2_2[[#This Row],[Year]]&gt;=2015,"Newer","Older")</f>
        <v>Older</v>
      </c>
      <c r="K450" s="1" t="s">
        <v>8</v>
      </c>
    </row>
    <row r="451" spans="1:11" x14ac:dyDescent="0.35">
      <c r="A451" s="1" t="s">
        <v>501</v>
      </c>
      <c r="B451" s="1" t="s">
        <v>502</v>
      </c>
      <c r="C451">
        <v>4.5</v>
      </c>
      <c r="D451" t="str">
        <f>IF(Table2_2[[#This Row],[User_Rating]]&lt;4.164816,"Outlier","Normal")</f>
        <v>Normal</v>
      </c>
      <c r="E451">
        <v>3601</v>
      </c>
      <c r="F451" t="str">
        <f>IF(Table2_2[[#This Row],[Reviews]]&gt;$N$13,"Outlier"," Normal")</f>
        <v xml:space="preserve"> Normal</v>
      </c>
      <c r="G451">
        <v>18</v>
      </c>
      <c r="H451" t="str">
        <f>IF(Table2_2[[#This Row],[Price]]&gt;$N$20,"Outlier","Normal")</f>
        <v>Normal</v>
      </c>
      <c r="I451">
        <v>2018</v>
      </c>
      <c r="J451" t="str">
        <f>IF(Table2_2[[#This Row],[Year]]&gt;=2015,"Newer","Older")</f>
        <v>Newer</v>
      </c>
      <c r="K451" s="1" t="s">
        <v>8</v>
      </c>
    </row>
    <row r="452" spans="1:11" x14ac:dyDescent="0.35">
      <c r="A452" s="1" t="s">
        <v>503</v>
      </c>
      <c r="B452" s="1" t="s">
        <v>502</v>
      </c>
      <c r="C452">
        <v>4.4000000000000004</v>
      </c>
      <c r="D452" t="str">
        <f>IF(Table2_2[[#This Row],[User_Rating]]&lt;4.164816,"Outlier","Normal")</f>
        <v>Normal</v>
      </c>
      <c r="E452">
        <v>7058</v>
      </c>
      <c r="F452" t="str">
        <f>IF(Table2_2[[#This Row],[Reviews]]&gt;$N$13,"Outlier"," Normal")</f>
        <v xml:space="preserve"> Normal</v>
      </c>
      <c r="G452">
        <v>17</v>
      </c>
      <c r="H452" t="str">
        <f>IF(Table2_2[[#This Row],[Price]]&gt;$N$20,"Outlier","Normal")</f>
        <v>Normal</v>
      </c>
      <c r="I452">
        <v>2018</v>
      </c>
      <c r="J452" t="str">
        <f>IF(Table2_2[[#This Row],[Year]]&gt;=2015,"Newer","Older")</f>
        <v>Newer</v>
      </c>
      <c r="K452" s="1" t="s">
        <v>8</v>
      </c>
    </row>
    <row r="453" spans="1:11" x14ac:dyDescent="0.35">
      <c r="A453" s="1" t="s">
        <v>504</v>
      </c>
      <c r="B453" s="1" t="s">
        <v>505</v>
      </c>
      <c r="C453">
        <v>4.8</v>
      </c>
      <c r="D453" t="str">
        <f>IF(Table2_2[[#This Row],[User_Rating]]&lt;4.164816,"Outlier","Normal")</f>
        <v>Normal</v>
      </c>
      <c r="E453">
        <v>9784</v>
      </c>
      <c r="F453" t="str">
        <f>IF(Table2_2[[#This Row],[Reviews]]&gt;$N$13,"Outlier"," Normal")</f>
        <v xml:space="preserve"> Normal</v>
      </c>
      <c r="G453">
        <v>5</v>
      </c>
      <c r="H453" t="str">
        <f>IF(Table2_2[[#This Row],[Price]]&gt;$N$20,"Outlier","Normal")</f>
        <v>Normal</v>
      </c>
      <c r="I453">
        <v>2017</v>
      </c>
      <c r="J453" t="str">
        <f>IF(Table2_2[[#This Row],[Year]]&gt;=2015,"Newer","Older")</f>
        <v>Newer</v>
      </c>
      <c r="K453" s="1" t="s">
        <v>11</v>
      </c>
    </row>
    <row r="454" spans="1:11" x14ac:dyDescent="0.35">
      <c r="A454" s="1" t="s">
        <v>504</v>
      </c>
      <c r="B454" s="1" t="s">
        <v>505</v>
      </c>
      <c r="C454">
        <v>4.8</v>
      </c>
      <c r="D454" t="str">
        <f>IF(Table2_2[[#This Row],[User_Rating]]&lt;4.164816,"Outlier","Normal")</f>
        <v>Normal</v>
      </c>
      <c r="E454">
        <v>9784</v>
      </c>
      <c r="F454" t="str">
        <f>IF(Table2_2[[#This Row],[Reviews]]&gt;$N$13,"Outlier"," Normal")</f>
        <v xml:space="preserve"> Normal</v>
      </c>
      <c r="G454">
        <v>5</v>
      </c>
      <c r="H454" t="str">
        <f>IF(Table2_2[[#This Row],[Price]]&gt;$N$20,"Outlier","Normal")</f>
        <v>Normal</v>
      </c>
      <c r="I454">
        <v>2018</v>
      </c>
      <c r="J454" t="str">
        <f>IF(Table2_2[[#This Row],[Year]]&gt;=2015,"Newer","Older")</f>
        <v>Newer</v>
      </c>
      <c r="K454" s="1" t="s">
        <v>11</v>
      </c>
    </row>
    <row r="455" spans="1:11" x14ac:dyDescent="0.35">
      <c r="A455" s="1" t="s">
        <v>506</v>
      </c>
      <c r="B455" s="1" t="s">
        <v>507</v>
      </c>
      <c r="C455">
        <v>4.5999999999999996</v>
      </c>
      <c r="D455" t="str">
        <f>IF(Table2_2[[#This Row],[User_Rating]]&lt;4.164816,"Outlier","Normal")</f>
        <v>Normal</v>
      </c>
      <c r="E455">
        <v>10795</v>
      </c>
      <c r="F455" t="str">
        <f>IF(Table2_2[[#This Row],[Reviews]]&gt;$N$13,"Outlier"," Normal")</f>
        <v xml:space="preserve"> Normal</v>
      </c>
      <c r="G455">
        <v>21</v>
      </c>
      <c r="H455" t="str">
        <f>IF(Table2_2[[#This Row],[Price]]&gt;$N$20,"Outlier","Normal")</f>
        <v>Normal</v>
      </c>
      <c r="I455">
        <v>2012</v>
      </c>
      <c r="J455" t="str">
        <f>IF(Table2_2[[#This Row],[Year]]&gt;=2015,"Newer","Older")</f>
        <v>Older</v>
      </c>
      <c r="K455" s="1" t="s">
        <v>8</v>
      </c>
    </row>
    <row r="456" spans="1:11" x14ac:dyDescent="0.35">
      <c r="A456" s="1" t="s">
        <v>508</v>
      </c>
      <c r="B456" s="1" t="s">
        <v>236</v>
      </c>
      <c r="C456">
        <v>4.3</v>
      </c>
      <c r="D456" t="str">
        <f>IF(Table2_2[[#This Row],[User_Rating]]&lt;4.164816,"Outlier","Normal")</f>
        <v>Normal</v>
      </c>
      <c r="E456">
        <v>10191</v>
      </c>
      <c r="F456" t="str">
        <f>IF(Table2_2[[#This Row],[Reviews]]&gt;$N$13,"Outlier"," Normal")</f>
        <v xml:space="preserve"> Normal</v>
      </c>
      <c r="G456">
        <v>18</v>
      </c>
      <c r="H456" t="str">
        <f>IF(Table2_2[[#This Row],[Price]]&gt;$N$20,"Outlier","Normal")</f>
        <v>Normal</v>
      </c>
      <c r="I456">
        <v>2018</v>
      </c>
      <c r="J456" t="str">
        <f>IF(Table2_2[[#This Row],[Year]]&gt;=2015,"Newer","Older")</f>
        <v>Newer</v>
      </c>
      <c r="K456" s="1" t="s">
        <v>11</v>
      </c>
    </row>
    <row r="457" spans="1:11" x14ac:dyDescent="0.35">
      <c r="A457" s="1" t="s">
        <v>509</v>
      </c>
      <c r="B457" s="1" t="s">
        <v>376</v>
      </c>
      <c r="C457">
        <v>4.3</v>
      </c>
      <c r="D457" t="str">
        <f>IF(Table2_2[[#This Row],[User_Rating]]&lt;4.164816,"Outlier","Normal")</f>
        <v>Normal</v>
      </c>
      <c r="E457">
        <v>14493</v>
      </c>
      <c r="F457" t="str">
        <f>IF(Table2_2[[#This Row],[Reviews]]&gt;$N$13,"Outlier"," Normal")</f>
        <v xml:space="preserve"> Normal</v>
      </c>
      <c r="G457">
        <v>18</v>
      </c>
      <c r="H457" t="str">
        <f>IF(Table2_2[[#This Row],[Price]]&gt;$N$20,"Outlier","Normal")</f>
        <v>Normal</v>
      </c>
      <c r="I457">
        <v>2012</v>
      </c>
      <c r="J457" t="str">
        <f>IF(Table2_2[[#This Row],[Year]]&gt;=2015,"Newer","Older")</f>
        <v>Older</v>
      </c>
      <c r="K457" s="1" t="s">
        <v>11</v>
      </c>
    </row>
    <row r="458" spans="1:11" x14ac:dyDescent="0.35">
      <c r="A458" s="1" t="s">
        <v>510</v>
      </c>
      <c r="B458" s="1" t="s">
        <v>332</v>
      </c>
      <c r="C458">
        <v>4.5999999999999996</v>
      </c>
      <c r="D458" t="str">
        <f>IF(Table2_2[[#This Row],[User_Rating]]&lt;4.164816,"Outlier","Normal")</f>
        <v>Normal</v>
      </c>
      <c r="E458">
        <v>2186</v>
      </c>
      <c r="F458" t="str">
        <f>IF(Table2_2[[#This Row],[Reviews]]&gt;$N$13,"Outlier"," Normal")</f>
        <v xml:space="preserve"> Normal</v>
      </c>
      <c r="G458">
        <v>12</v>
      </c>
      <c r="H458" t="str">
        <f>IF(Table2_2[[#This Row],[Price]]&gt;$N$20,"Outlier","Normal")</f>
        <v>Normal</v>
      </c>
      <c r="I458">
        <v>2010</v>
      </c>
      <c r="J458" t="str">
        <f>IF(Table2_2[[#This Row],[Year]]&gt;=2015,"Newer","Older")</f>
        <v>Older</v>
      </c>
      <c r="K458" s="1" t="s">
        <v>11</v>
      </c>
    </row>
    <row r="459" spans="1:11" x14ac:dyDescent="0.35">
      <c r="A459" s="1" t="s">
        <v>511</v>
      </c>
      <c r="B459" s="1" t="s">
        <v>512</v>
      </c>
      <c r="C459">
        <v>4.5999999999999996</v>
      </c>
      <c r="D459" t="str">
        <f>IF(Table2_2[[#This Row],[User_Rating]]&lt;4.164816,"Outlier","Normal")</f>
        <v>Normal</v>
      </c>
      <c r="E459">
        <v>1204</v>
      </c>
      <c r="F459" t="str">
        <f>IF(Table2_2[[#This Row],[Reviews]]&gt;$N$13,"Outlier"," Normal")</f>
        <v xml:space="preserve"> Normal</v>
      </c>
      <c r="G459">
        <v>14</v>
      </c>
      <c r="H459" t="str">
        <f>IF(Table2_2[[#This Row],[Price]]&gt;$N$20,"Outlier","Normal")</f>
        <v>Normal</v>
      </c>
      <c r="I459">
        <v>2010</v>
      </c>
      <c r="J459" t="str">
        <f>IF(Table2_2[[#This Row],[Year]]&gt;=2015,"Newer","Older")</f>
        <v>Older</v>
      </c>
      <c r="K459" s="1" t="s">
        <v>8</v>
      </c>
    </row>
    <row r="460" spans="1:11" x14ac:dyDescent="0.35">
      <c r="A460" s="1" t="s">
        <v>513</v>
      </c>
      <c r="B460" s="1" t="s">
        <v>332</v>
      </c>
      <c r="C460">
        <v>4.8</v>
      </c>
      <c r="D460" t="str">
        <f>IF(Table2_2[[#This Row],[User_Rating]]&lt;4.164816,"Outlier","Normal")</f>
        <v>Normal</v>
      </c>
      <c r="E460">
        <v>2091</v>
      </c>
      <c r="F460" t="str">
        <f>IF(Table2_2[[#This Row],[Reviews]]&gt;$N$13,"Outlier"," Normal")</f>
        <v xml:space="preserve"> Normal</v>
      </c>
      <c r="G460">
        <v>12</v>
      </c>
      <c r="H460" t="str">
        <f>IF(Table2_2[[#This Row],[Price]]&gt;$N$20,"Outlier","Normal")</f>
        <v>Normal</v>
      </c>
      <c r="I460">
        <v>2012</v>
      </c>
      <c r="J460" t="str">
        <f>IF(Table2_2[[#This Row],[Year]]&gt;=2015,"Newer","Older")</f>
        <v>Older</v>
      </c>
      <c r="K460" s="1" t="s">
        <v>11</v>
      </c>
    </row>
    <row r="461" spans="1:11" x14ac:dyDescent="0.35">
      <c r="A461" s="1" t="s">
        <v>514</v>
      </c>
      <c r="B461" s="1" t="s">
        <v>515</v>
      </c>
      <c r="C461">
        <v>4.5999999999999996</v>
      </c>
      <c r="D461" t="str">
        <f>IF(Table2_2[[#This Row],[User_Rating]]&lt;4.164816,"Outlier","Normal")</f>
        <v>Normal</v>
      </c>
      <c r="E461">
        <v>19720</v>
      </c>
      <c r="F461" t="str">
        <f>IF(Table2_2[[#This Row],[Reviews]]&gt;$N$13,"Outlier"," Normal")</f>
        <v xml:space="preserve"> Normal</v>
      </c>
      <c r="G461">
        <v>8</v>
      </c>
      <c r="H461" t="str">
        <f>IF(Table2_2[[#This Row],[Price]]&gt;$N$20,"Outlier","Normal")</f>
        <v>Normal</v>
      </c>
      <c r="I461">
        <v>2009</v>
      </c>
      <c r="J461" t="str">
        <f>IF(Table2_2[[#This Row],[Year]]&gt;=2015,"Newer","Older")</f>
        <v>Older</v>
      </c>
      <c r="K461" s="1" t="s">
        <v>11</v>
      </c>
    </row>
    <row r="462" spans="1:11" x14ac:dyDescent="0.35">
      <c r="A462" s="1" t="s">
        <v>514</v>
      </c>
      <c r="B462" s="1" t="s">
        <v>515</v>
      </c>
      <c r="C462">
        <v>4.5999999999999996</v>
      </c>
      <c r="D462" t="str">
        <f>IF(Table2_2[[#This Row],[User_Rating]]&lt;4.164816,"Outlier","Normal")</f>
        <v>Normal</v>
      </c>
      <c r="E462">
        <v>19720</v>
      </c>
      <c r="F462" t="str">
        <f>IF(Table2_2[[#This Row],[Reviews]]&gt;$N$13,"Outlier"," Normal")</f>
        <v xml:space="preserve"> Normal</v>
      </c>
      <c r="G462">
        <v>8</v>
      </c>
      <c r="H462" t="str">
        <f>IF(Table2_2[[#This Row],[Price]]&gt;$N$20,"Outlier","Normal")</f>
        <v>Normal</v>
      </c>
      <c r="I462">
        <v>2017</v>
      </c>
      <c r="J462" t="str">
        <f>IF(Table2_2[[#This Row],[Year]]&gt;=2015,"Newer","Older")</f>
        <v>Newer</v>
      </c>
      <c r="K462" s="1" t="s">
        <v>11</v>
      </c>
    </row>
    <row r="463" spans="1:11" x14ac:dyDescent="0.35">
      <c r="A463" s="1" t="s">
        <v>516</v>
      </c>
      <c r="B463" s="1" t="s">
        <v>74</v>
      </c>
      <c r="C463">
        <v>4.5999999999999996</v>
      </c>
      <c r="D463" t="str">
        <f>IF(Table2_2[[#This Row],[User_Rating]]&lt;4.164816,"Outlier","Normal")</f>
        <v>Normal</v>
      </c>
      <c r="E463">
        <v>2122</v>
      </c>
      <c r="F463" t="str">
        <f>IF(Table2_2[[#This Row],[Reviews]]&gt;$N$13,"Outlier"," Normal")</f>
        <v xml:space="preserve"> Normal</v>
      </c>
      <c r="G463">
        <v>0</v>
      </c>
      <c r="H463" t="str">
        <f>IF(Table2_2[[#This Row],[Price]]&gt;$N$20,"Outlier","Normal")</f>
        <v>Normal</v>
      </c>
      <c r="I463">
        <v>2010</v>
      </c>
      <c r="J463" t="str">
        <f>IF(Table2_2[[#This Row],[Year]]&gt;=2015,"Newer","Older")</f>
        <v>Older</v>
      </c>
      <c r="K463" s="1" t="s">
        <v>11</v>
      </c>
    </row>
    <row r="464" spans="1:11" x14ac:dyDescent="0.35">
      <c r="A464" s="1" t="s">
        <v>517</v>
      </c>
      <c r="B464" s="1" t="s">
        <v>518</v>
      </c>
      <c r="C464">
        <v>4.5</v>
      </c>
      <c r="D464" t="str">
        <f>IF(Table2_2[[#This Row],[User_Rating]]&lt;4.164816,"Outlier","Normal")</f>
        <v>Normal</v>
      </c>
      <c r="E464">
        <v>27536</v>
      </c>
      <c r="F464" t="str">
        <f>IF(Table2_2[[#This Row],[Reviews]]&gt;$N$13,"Outlier"," Normal")</f>
        <v xml:space="preserve"> Normal</v>
      </c>
      <c r="G464">
        <v>14</v>
      </c>
      <c r="H464" t="str">
        <f>IF(Table2_2[[#This Row],[Price]]&gt;$N$20,"Outlier","Normal")</f>
        <v>Normal</v>
      </c>
      <c r="I464">
        <v>2019</v>
      </c>
      <c r="J464" t="str">
        <f>IF(Table2_2[[#This Row],[Year]]&gt;=2015,"Newer","Older")</f>
        <v>Newer</v>
      </c>
      <c r="K464" s="1" t="s">
        <v>11</v>
      </c>
    </row>
    <row r="465" spans="1:11" x14ac:dyDescent="0.35">
      <c r="A465" s="1" t="s">
        <v>519</v>
      </c>
      <c r="B465" s="1" t="s">
        <v>332</v>
      </c>
      <c r="C465">
        <v>4.8</v>
      </c>
      <c r="D465" t="str">
        <f>IF(Table2_2[[#This Row],[User_Rating]]&lt;4.164816,"Outlier","Normal")</f>
        <v>Normal</v>
      </c>
      <c r="E465">
        <v>4290</v>
      </c>
      <c r="F465" t="str">
        <f>IF(Table2_2[[#This Row],[Reviews]]&gt;$N$13,"Outlier"," Normal")</f>
        <v xml:space="preserve"> Normal</v>
      </c>
      <c r="G465">
        <v>10</v>
      </c>
      <c r="H465" t="str">
        <f>IF(Table2_2[[#This Row],[Price]]&gt;$N$20,"Outlier","Normal")</f>
        <v>Normal</v>
      </c>
      <c r="I465">
        <v>2011</v>
      </c>
      <c r="J465" t="str">
        <f>IF(Table2_2[[#This Row],[Year]]&gt;=2015,"Newer","Older")</f>
        <v>Older</v>
      </c>
      <c r="K465" s="1" t="s">
        <v>11</v>
      </c>
    </row>
    <row r="466" spans="1:11" x14ac:dyDescent="0.35">
      <c r="A466" s="1" t="s">
        <v>520</v>
      </c>
      <c r="B466" s="1" t="s">
        <v>521</v>
      </c>
      <c r="C466">
        <v>4.5999999999999996</v>
      </c>
      <c r="D466" t="str">
        <f>IF(Table2_2[[#This Row],[User_Rating]]&lt;4.164816,"Outlier","Normal")</f>
        <v>Normal</v>
      </c>
      <c r="E466">
        <v>26490</v>
      </c>
      <c r="F466" t="str">
        <f>IF(Table2_2[[#This Row],[Reviews]]&gt;$N$13,"Outlier"," Normal")</f>
        <v xml:space="preserve"> Normal</v>
      </c>
      <c r="G466">
        <v>15</v>
      </c>
      <c r="H466" t="str">
        <f>IF(Table2_2[[#This Row],[Price]]&gt;$N$20,"Outlier","Normal")</f>
        <v>Normal</v>
      </c>
      <c r="I466">
        <v>2017</v>
      </c>
      <c r="J466" t="str">
        <f>IF(Table2_2[[#This Row],[Year]]&gt;=2015,"Newer","Older")</f>
        <v>Newer</v>
      </c>
      <c r="K466" s="1" t="s">
        <v>8</v>
      </c>
    </row>
    <row r="467" spans="1:11" x14ac:dyDescent="0.35">
      <c r="A467" s="1" t="s">
        <v>520</v>
      </c>
      <c r="B467" s="1" t="s">
        <v>521</v>
      </c>
      <c r="C467">
        <v>4.5999999999999996</v>
      </c>
      <c r="D467" t="str">
        <f>IF(Table2_2[[#This Row],[User_Rating]]&lt;4.164816,"Outlier","Normal")</f>
        <v>Normal</v>
      </c>
      <c r="E467">
        <v>26490</v>
      </c>
      <c r="F467" t="str">
        <f>IF(Table2_2[[#This Row],[Reviews]]&gt;$N$13,"Outlier"," Normal")</f>
        <v xml:space="preserve"> Normal</v>
      </c>
      <c r="G467">
        <v>15</v>
      </c>
      <c r="H467" t="str">
        <f>IF(Table2_2[[#This Row],[Price]]&gt;$N$20,"Outlier","Normal")</f>
        <v>Normal</v>
      </c>
      <c r="I467">
        <v>2018</v>
      </c>
      <c r="J467" t="str">
        <f>IF(Table2_2[[#This Row],[Year]]&gt;=2015,"Newer","Older")</f>
        <v>Newer</v>
      </c>
      <c r="K467" s="1" t="s">
        <v>8</v>
      </c>
    </row>
    <row r="468" spans="1:11" x14ac:dyDescent="0.35">
      <c r="A468" s="1" t="s">
        <v>520</v>
      </c>
      <c r="B468" s="1" t="s">
        <v>521</v>
      </c>
      <c r="C468">
        <v>4.5999999999999996</v>
      </c>
      <c r="D468" t="str">
        <f>IF(Table2_2[[#This Row],[User_Rating]]&lt;4.164816,"Outlier","Normal")</f>
        <v>Normal</v>
      </c>
      <c r="E468">
        <v>26490</v>
      </c>
      <c r="F468" t="str">
        <f>IF(Table2_2[[#This Row],[Reviews]]&gt;$N$13,"Outlier"," Normal")</f>
        <v xml:space="preserve"> Normal</v>
      </c>
      <c r="G468">
        <v>15</v>
      </c>
      <c r="H468" t="str">
        <f>IF(Table2_2[[#This Row],[Price]]&gt;$N$20,"Outlier","Normal")</f>
        <v>Normal</v>
      </c>
      <c r="I468">
        <v>2019</v>
      </c>
      <c r="J468" t="str">
        <f>IF(Table2_2[[#This Row],[Year]]&gt;=2015,"Newer","Older")</f>
        <v>Newer</v>
      </c>
      <c r="K468" s="1" t="s">
        <v>8</v>
      </c>
    </row>
    <row r="469" spans="1:11" x14ac:dyDescent="0.35">
      <c r="A469" s="1" t="s">
        <v>522</v>
      </c>
      <c r="B469" s="1" t="s">
        <v>300</v>
      </c>
      <c r="C469">
        <v>4.7</v>
      </c>
      <c r="D469" t="str">
        <f>IF(Table2_2[[#This Row],[User_Rating]]&lt;4.164816,"Outlier","Normal")</f>
        <v>Normal</v>
      </c>
      <c r="E469">
        <v>5487</v>
      </c>
      <c r="F469" t="str">
        <f>IF(Table2_2[[#This Row],[Reviews]]&gt;$N$13,"Outlier"," Normal")</f>
        <v xml:space="preserve"> Normal</v>
      </c>
      <c r="G469">
        <v>9</v>
      </c>
      <c r="H469" t="str">
        <f>IF(Table2_2[[#This Row],[Price]]&gt;$N$20,"Outlier","Normal")</f>
        <v>Normal</v>
      </c>
      <c r="I469">
        <v>2017</v>
      </c>
      <c r="J469" t="str">
        <f>IF(Table2_2[[#This Row],[Year]]&gt;=2015,"Newer","Older")</f>
        <v>Newer</v>
      </c>
      <c r="K469" s="1" t="s">
        <v>8</v>
      </c>
    </row>
    <row r="470" spans="1:11" x14ac:dyDescent="0.35">
      <c r="A470" s="1" t="s">
        <v>523</v>
      </c>
      <c r="B470" s="1" t="s">
        <v>79</v>
      </c>
      <c r="C470">
        <v>4.7</v>
      </c>
      <c r="D470" t="str">
        <f>IF(Table2_2[[#This Row],[User_Rating]]&lt;4.164816,"Outlier","Normal")</f>
        <v>Normal</v>
      </c>
      <c r="E470">
        <v>6377</v>
      </c>
      <c r="F470" t="str">
        <f>IF(Table2_2[[#This Row],[Reviews]]&gt;$N$13,"Outlier"," Normal")</f>
        <v xml:space="preserve"> Normal</v>
      </c>
      <c r="G470">
        <v>7</v>
      </c>
      <c r="H470" t="str">
        <f>IF(Table2_2[[#This Row],[Price]]&gt;$N$20,"Outlier","Normal")</f>
        <v>Normal</v>
      </c>
      <c r="I470">
        <v>2012</v>
      </c>
      <c r="J470" t="str">
        <f>IF(Table2_2[[#This Row],[Year]]&gt;=2015,"Newer","Older")</f>
        <v>Older</v>
      </c>
      <c r="K470" s="1" t="s">
        <v>11</v>
      </c>
    </row>
    <row r="471" spans="1:11" x14ac:dyDescent="0.35">
      <c r="A471" s="1" t="s">
        <v>524</v>
      </c>
      <c r="B471" s="1" t="s">
        <v>332</v>
      </c>
      <c r="C471">
        <v>4.7</v>
      </c>
      <c r="D471" t="str">
        <f>IF(Table2_2[[#This Row],[User_Rating]]&lt;4.164816,"Outlier","Normal")</f>
        <v>Normal</v>
      </c>
      <c r="E471">
        <v>1463</v>
      </c>
      <c r="F471" t="str">
        <f>IF(Table2_2[[#This Row],[Reviews]]&gt;$N$13,"Outlier"," Normal")</f>
        <v xml:space="preserve"> Normal</v>
      </c>
      <c r="G471">
        <v>10</v>
      </c>
      <c r="H471" t="str">
        <f>IF(Table2_2[[#This Row],[Price]]&gt;$N$20,"Outlier","Normal")</f>
        <v>Normal</v>
      </c>
      <c r="I471">
        <v>2011</v>
      </c>
      <c r="J471" t="str">
        <f>IF(Table2_2[[#This Row],[Year]]&gt;=2015,"Newer","Older")</f>
        <v>Older</v>
      </c>
      <c r="K471" s="1" t="s">
        <v>11</v>
      </c>
    </row>
    <row r="472" spans="1:11" x14ac:dyDescent="0.35">
      <c r="A472" s="1" t="s">
        <v>525</v>
      </c>
      <c r="B472" s="1" t="s">
        <v>526</v>
      </c>
      <c r="C472">
        <v>4.4000000000000004</v>
      </c>
      <c r="D472" t="str">
        <f>IF(Table2_2[[#This Row],[User_Rating]]&lt;4.164816,"Outlier","Normal")</f>
        <v>Normal</v>
      </c>
      <c r="E472">
        <v>3759</v>
      </c>
      <c r="F472" t="str">
        <f>IF(Table2_2[[#This Row],[Reviews]]&gt;$N$13,"Outlier"," Normal")</f>
        <v xml:space="preserve"> Normal</v>
      </c>
      <c r="G472">
        <v>6</v>
      </c>
      <c r="H472" t="str">
        <f>IF(Table2_2[[#This Row],[Price]]&gt;$N$20,"Outlier","Normal")</f>
        <v>Normal</v>
      </c>
      <c r="I472">
        <v>2009</v>
      </c>
      <c r="J472" t="str">
        <f>IF(Table2_2[[#This Row],[Year]]&gt;=2015,"Newer","Older")</f>
        <v>Older</v>
      </c>
      <c r="K472" s="1" t="s">
        <v>11</v>
      </c>
    </row>
    <row r="473" spans="1:11" x14ac:dyDescent="0.35">
      <c r="A473" s="1" t="s">
        <v>527</v>
      </c>
      <c r="B473" s="1" t="s">
        <v>102</v>
      </c>
      <c r="C473">
        <v>4.4000000000000004</v>
      </c>
      <c r="D473" t="str">
        <f>IF(Table2_2[[#This Row],[User_Rating]]&lt;4.164816,"Outlier","Normal")</f>
        <v>Normal</v>
      </c>
      <c r="E473">
        <v>3503</v>
      </c>
      <c r="F473" t="str">
        <f>IF(Table2_2[[#This Row],[Reviews]]&gt;$N$13,"Outlier"," Normal")</f>
        <v xml:space="preserve"> Normal</v>
      </c>
      <c r="G473">
        <v>9</v>
      </c>
      <c r="H473" t="str">
        <f>IF(Table2_2[[#This Row],[Price]]&gt;$N$20,"Outlier","Normal")</f>
        <v>Normal</v>
      </c>
      <c r="I473">
        <v>2009</v>
      </c>
      <c r="J473" t="str">
        <f>IF(Table2_2[[#This Row],[Year]]&gt;=2015,"Newer","Older")</f>
        <v>Older</v>
      </c>
      <c r="K473" s="1" t="s">
        <v>8</v>
      </c>
    </row>
    <row r="474" spans="1:11" x14ac:dyDescent="0.35">
      <c r="A474" s="1" t="s">
        <v>528</v>
      </c>
      <c r="B474" s="1" t="s">
        <v>529</v>
      </c>
      <c r="C474">
        <v>4.7</v>
      </c>
      <c r="D474" t="str">
        <f>IF(Table2_2[[#This Row],[User_Rating]]&lt;4.164816,"Outlier","Normal")</f>
        <v>Normal</v>
      </c>
      <c r="E474">
        <v>11550</v>
      </c>
      <c r="F474" t="str">
        <f>IF(Table2_2[[#This Row],[Reviews]]&gt;$N$13,"Outlier"," Normal")</f>
        <v xml:space="preserve"> Normal</v>
      </c>
      <c r="G474">
        <v>10</v>
      </c>
      <c r="H474" t="str">
        <f>IF(Table2_2[[#This Row],[Price]]&gt;$N$20,"Outlier","Normal")</f>
        <v>Normal</v>
      </c>
      <c r="I474">
        <v>2019</v>
      </c>
      <c r="J474" t="str">
        <f>IF(Table2_2[[#This Row],[Year]]&gt;=2015,"Newer","Older")</f>
        <v>Newer</v>
      </c>
      <c r="K474" s="1" t="s">
        <v>8</v>
      </c>
    </row>
    <row r="475" spans="1:11" x14ac:dyDescent="0.35">
      <c r="A475" s="1" t="s">
        <v>530</v>
      </c>
      <c r="B475" s="1" t="s">
        <v>74</v>
      </c>
      <c r="C475">
        <v>4.7</v>
      </c>
      <c r="D475" t="str">
        <f>IF(Table2_2[[#This Row],[User_Rating]]&lt;4.164816,"Outlier","Normal")</f>
        <v>Normal</v>
      </c>
      <c r="E475">
        <v>3801</v>
      </c>
      <c r="F475" t="str">
        <f>IF(Table2_2[[#This Row],[Reviews]]&gt;$N$13,"Outlier"," Normal")</f>
        <v xml:space="preserve"> Normal</v>
      </c>
      <c r="G475">
        <v>82</v>
      </c>
      <c r="H475" t="str">
        <f>IF(Table2_2[[#This Row],[Price]]&gt;$N$20,"Outlier","Normal")</f>
        <v>Outlier</v>
      </c>
      <c r="I475">
        <v>2009</v>
      </c>
      <c r="J475" t="str">
        <f>IF(Table2_2[[#This Row],[Year]]&gt;=2015,"Newer","Older")</f>
        <v>Older</v>
      </c>
      <c r="K475" s="1" t="s">
        <v>11</v>
      </c>
    </row>
    <row r="476" spans="1:11" x14ac:dyDescent="0.35">
      <c r="A476" s="1" t="s">
        <v>531</v>
      </c>
      <c r="B476" s="1" t="s">
        <v>79</v>
      </c>
      <c r="C476">
        <v>4.8</v>
      </c>
      <c r="D476" t="str">
        <f>IF(Table2_2[[#This Row],[User_Rating]]&lt;4.164816,"Outlier","Normal")</f>
        <v>Normal</v>
      </c>
      <c r="E476">
        <v>3796</v>
      </c>
      <c r="F476" t="str">
        <f>IF(Table2_2[[#This Row],[Reviews]]&gt;$N$13,"Outlier"," Normal")</f>
        <v xml:space="preserve"> Normal</v>
      </c>
      <c r="G476">
        <v>12</v>
      </c>
      <c r="H476" t="str">
        <f>IF(Table2_2[[#This Row],[Price]]&gt;$N$20,"Outlier","Normal")</f>
        <v>Normal</v>
      </c>
      <c r="I476">
        <v>2010</v>
      </c>
      <c r="J476" t="str">
        <f>IF(Table2_2[[#This Row],[Year]]&gt;=2015,"Newer","Older")</f>
        <v>Older</v>
      </c>
      <c r="K476" s="1" t="s">
        <v>11</v>
      </c>
    </row>
    <row r="477" spans="1:11" x14ac:dyDescent="0.35">
      <c r="A477" s="1" t="s">
        <v>532</v>
      </c>
      <c r="B477" s="1" t="s">
        <v>533</v>
      </c>
      <c r="C477">
        <v>4.7</v>
      </c>
      <c r="D477" t="str">
        <f>IF(Table2_2[[#This Row],[User_Rating]]&lt;4.164816,"Outlier","Normal")</f>
        <v>Normal</v>
      </c>
      <c r="E477">
        <v>9030</v>
      </c>
      <c r="F477" t="str">
        <f>IF(Table2_2[[#This Row],[Reviews]]&gt;$N$13,"Outlier"," Normal")</f>
        <v xml:space="preserve"> Normal</v>
      </c>
      <c r="G477">
        <v>10</v>
      </c>
      <c r="H477" t="str">
        <f>IF(Table2_2[[#This Row],[Price]]&gt;$N$20,"Outlier","Normal")</f>
        <v>Normal</v>
      </c>
      <c r="I477">
        <v>2019</v>
      </c>
      <c r="J477" t="str">
        <f>IF(Table2_2[[#This Row],[Year]]&gt;=2015,"Newer","Older")</f>
        <v>Newer</v>
      </c>
      <c r="K477" s="1" t="s">
        <v>8</v>
      </c>
    </row>
    <row r="478" spans="1:11" x14ac:dyDescent="0.35">
      <c r="A478" s="1" t="s">
        <v>534</v>
      </c>
      <c r="B478" s="1" t="s">
        <v>535</v>
      </c>
      <c r="C478">
        <v>4.9000000000000004</v>
      </c>
      <c r="D478" t="str">
        <f>IF(Table2_2[[#This Row],[User_Rating]]&lt;4.164816,"Outlier","Normal")</f>
        <v>Normal</v>
      </c>
      <c r="E478">
        <v>19546</v>
      </c>
      <c r="F478" t="str">
        <f>IF(Table2_2[[#This Row],[Reviews]]&gt;$N$13,"Outlier"," Normal")</f>
        <v xml:space="preserve"> Normal</v>
      </c>
      <c r="G478">
        <v>5</v>
      </c>
      <c r="H478" t="str">
        <f>IF(Table2_2[[#This Row],[Price]]&gt;$N$20,"Outlier","Normal")</f>
        <v>Normal</v>
      </c>
      <c r="I478">
        <v>2013</v>
      </c>
      <c r="J478" t="str">
        <f>IF(Table2_2[[#This Row],[Year]]&gt;=2015,"Newer","Older")</f>
        <v>Older</v>
      </c>
      <c r="K478" s="1" t="s">
        <v>11</v>
      </c>
    </row>
    <row r="479" spans="1:11" x14ac:dyDescent="0.35">
      <c r="A479" s="1" t="s">
        <v>534</v>
      </c>
      <c r="B479" s="1" t="s">
        <v>535</v>
      </c>
      <c r="C479">
        <v>4.9000000000000004</v>
      </c>
      <c r="D479" t="str">
        <f>IF(Table2_2[[#This Row],[User_Rating]]&lt;4.164816,"Outlier","Normal")</f>
        <v>Normal</v>
      </c>
      <c r="E479">
        <v>19546</v>
      </c>
      <c r="F479" t="str">
        <f>IF(Table2_2[[#This Row],[Reviews]]&gt;$N$13,"Outlier"," Normal")</f>
        <v xml:space="preserve"> Normal</v>
      </c>
      <c r="G479">
        <v>5</v>
      </c>
      <c r="H479" t="str">
        <f>IF(Table2_2[[#This Row],[Price]]&gt;$N$20,"Outlier","Normal")</f>
        <v>Normal</v>
      </c>
      <c r="I479">
        <v>2014</v>
      </c>
      <c r="J479" t="str">
        <f>IF(Table2_2[[#This Row],[Year]]&gt;=2015,"Newer","Older")</f>
        <v>Older</v>
      </c>
      <c r="K479" s="1" t="s">
        <v>11</v>
      </c>
    </row>
    <row r="480" spans="1:11" x14ac:dyDescent="0.35">
      <c r="A480" s="1" t="s">
        <v>534</v>
      </c>
      <c r="B480" s="1" t="s">
        <v>535</v>
      </c>
      <c r="C480">
        <v>4.9000000000000004</v>
      </c>
      <c r="D480" t="str">
        <f>IF(Table2_2[[#This Row],[User_Rating]]&lt;4.164816,"Outlier","Normal")</f>
        <v>Normal</v>
      </c>
      <c r="E480">
        <v>19546</v>
      </c>
      <c r="F480" t="str">
        <f>IF(Table2_2[[#This Row],[Reviews]]&gt;$N$13,"Outlier"," Normal")</f>
        <v xml:space="preserve"> Normal</v>
      </c>
      <c r="G480">
        <v>5</v>
      </c>
      <c r="H480" t="str">
        <f>IF(Table2_2[[#This Row],[Price]]&gt;$N$20,"Outlier","Normal")</f>
        <v>Normal</v>
      </c>
      <c r="I480">
        <v>2015</v>
      </c>
      <c r="J480" t="str">
        <f>IF(Table2_2[[#This Row],[Year]]&gt;=2015,"Newer","Older")</f>
        <v>Newer</v>
      </c>
      <c r="K480" s="1" t="s">
        <v>11</v>
      </c>
    </row>
    <row r="481" spans="1:11" x14ac:dyDescent="0.35">
      <c r="A481" s="1" t="s">
        <v>534</v>
      </c>
      <c r="B481" s="1" t="s">
        <v>535</v>
      </c>
      <c r="C481">
        <v>4.9000000000000004</v>
      </c>
      <c r="D481" t="str">
        <f>IF(Table2_2[[#This Row],[User_Rating]]&lt;4.164816,"Outlier","Normal")</f>
        <v>Normal</v>
      </c>
      <c r="E481">
        <v>19546</v>
      </c>
      <c r="F481" t="str">
        <f>IF(Table2_2[[#This Row],[Reviews]]&gt;$N$13,"Outlier"," Normal")</f>
        <v xml:space="preserve"> Normal</v>
      </c>
      <c r="G481">
        <v>5</v>
      </c>
      <c r="H481" t="str">
        <f>IF(Table2_2[[#This Row],[Price]]&gt;$N$20,"Outlier","Normal")</f>
        <v>Normal</v>
      </c>
      <c r="I481">
        <v>2016</v>
      </c>
      <c r="J481" t="str">
        <f>IF(Table2_2[[#This Row],[Year]]&gt;=2015,"Newer","Older")</f>
        <v>Newer</v>
      </c>
      <c r="K481" s="1" t="s">
        <v>11</v>
      </c>
    </row>
    <row r="482" spans="1:11" x14ac:dyDescent="0.35">
      <c r="A482" s="1" t="s">
        <v>534</v>
      </c>
      <c r="B482" s="1" t="s">
        <v>535</v>
      </c>
      <c r="C482">
        <v>4.9000000000000004</v>
      </c>
      <c r="D482" t="str">
        <f>IF(Table2_2[[#This Row],[User_Rating]]&lt;4.164816,"Outlier","Normal")</f>
        <v>Normal</v>
      </c>
      <c r="E482">
        <v>19546</v>
      </c>
      <c r="F482" t="str">
        <f>IF(Table2_2[[#This Row],[Reviews]]&gt;$N$13,"Outlier"," Normal")</f>
        <v xml:space="preserve"> Normal</v>
      </c>
      <c r="G482">
        <v>5</v>
      </c>
      <c r="H482" t="str">
        <f>IF(Table2_2[[#This Row],[Price]]&gt;$N$20,"Outlier","Normal")</f>
        <v>Normal</v>
      </c>
      <c r="I482">
        <v>2017</v>
      </c>
      <c r="J482" t="str">
        <f>IF(Table2_2[[#This Row],[Year]]&gt;=2015,"Newer","Older")</f>
        <v>Newer</v>
      </c>
      <c r="K482" s="1" t="s">
        <v>11</v>
      </c>
    </row>
    <row r="483" spans="1:11" x14ac:dyDescent="0.35">
      <c r="A483" s="1" t="s">
        <v>534</v>
      </c>
      <c r="B483" s="1" t="s">
        <v>535</v>
      </c>
      <c r="C483">
        <v>4.9000000000000004</v>
      </c>
      <c r="D483" t="str">
        <f>IF(Table2_2[[#This Row],[User_Rating]]&lt;4.164816,"Outlier","Normal")</f>
        <v>Normal</v>
      </c>
      <c r="E483">
        <v>19546</v>
      </c>
      <c r="F483" t="str">
        <f>IF(Table2_2[[#This Row],[Reviews]]&gt;$N$13,"Outlier"," Normal")</f>
        <v xml:space="preserve"> Normal</v>
      </c>
      <c r="G483">
        <v>5</v>
      </c>
      <c r="H483" t="str">
        <f>IF(Table2_2[[#This Row],[Price]]&gt;$N$20,"Outlier","Normal")</f>
        <v>Normal</v>
      </c>
      <c r="I483">
        <v>2018</v>
      </c>
      <c r="J483" t="str">
        <f>IF(Table2_2[[#This Row],[Year]]&gt;=2015,"Newer","Older")</f>
        <v>Newer</v>
      </c>
      <c r="K483" s="1" t="s">
        <v>11</v>
      </c>
    </row>
    <row r="484" spans="1:11" x14ac:dyDescent="0.35">
      <c r="A484" s="1" t="s">
        <v>534</v>
      </c>
      <c r="B484" s="1" t="s">
        <v>535</v>
      </c>
      <c r="C484">
        <v>4.9000000000000004</v>
      </c>
      <c r="D484" t="str">
        <f>IF(Table2_2[[#This Row],[User_Rating]]&lt;4.164816,"Outlier","Normal")</f>
        <v>Normal</v>
      </c>
      <c r="E484">
        <v>19546</v>
      </c>
      <c r="F484" t="str">
        <f>IF(Table2_2[[#This Row],[Reviews]]&gt;$N$13,"Outlier"," Normal")</f>
        <v xml:space="preserve"> Normal</v>
      </c>
      <c r="G484">
        <v>5</v>
      </c>
      <c r="H484" t="str">
        <f>IF(Table2_2[[#This Row],[Price]]&gt;$N$20,"Outlier","Normal")</f>
        <v>Normal</v>
      </c>
      <c r="I484">
        <v>2019</v>
      </c>
      <c r="J484" t="str">
        <f>IF(Table2_2[[#This Row],[Year]]&gt;=2015,"Newer","Older")</f>
        <v>Newer</v>
      </c>
      <c r="K484" s="1" t="s">
        <v>11</v>
      </c>
    </row>
    <row r="485" spans="1:11" x14ac:dyDescent="0.35">
      <c r="A485" s="1" t="s">
        <v>536</v>
      </c>
      <c r="B485" s="1" t="s">
        <v>537</v>
      </c>
      <c r="C485">
        <v>4.5999999999999996</v>
      </c>
      <c r="D485" t="str">
        <f>IF(Table2_2[[#This Row],[User_Rating]]&lt;4.164816,"Outlier","Normal")</f>
        <v>Normal</v>
      </c>
      <c r="E485">
        <v>7508</v>
      </c>
      <c r="F485" t="str">
        <f>IF(Table2_2[[#This Row],[Reviews]]&gt;$N$13,"Outlier"," Normal")</f>
        <v xml:space="preserve"> Normal</v>
      </c>
      <c r="G485">
        <v>16</v>
      </c>
      <c r="H485" t="str">
        <f>IF(Table2_2[[#This Row],[Price]]&gt;$N$20,"Outlier","Normal")</f>
        <v>Normal</v>
      </c>
      <c r="I485">
        <v>2015</v>
      </c>
      <c r="J485" t="str">
        <f>IF(Table2_2[[#This Row],[Year]]&gt;=2015,"Newer","Older")</f>
        <v>Newer</v>
      </c>
      <c r="K485" s="1" t="s">
        <v>8</v>
      </c>
    </row>
    <row r="486" spans="1:11" x14ac:dyDescent="0.35">
      <c r="A486" s="1" t="s">
        <v>536</v>
      </c>
      <c r="B486" s="1" t="s">
        <v>537</v>
      </c>
      <c r="C486">
        <v>4.5999999999999996</v>
      </c>
      <c r="D486" t="str">
        <f>IF(Table2_2[[#This Row],[User_Rating]]&lt;4.164816,"Outlier","Normal")</f>
        <v>Normal</v>
      </c>
      <c r="E486">
        <v>7508</v>
      </c>
      <c r="F486" t="str">
        <f>IF(Table2_2[[#This Row],[Reviews]]&gt;$N$13,"Outlier"," Normal")</f>
        <v xml:space="preserve"> Normal</v>
      </c>
      <c r="G486">
        <v>16</v>
      </c>
      <c r="H486" t="str">
        <f>IF(Table2_2[[#This Row],[Price]]&gt;$N$20,"Outlier","Normal")</f>
        <v>Normal</v>
      </c>
      <c r="I486">
        <v>2016</v>
      </c>
      <c r="J486" t="str">
        <f>IF(Table2_2[[#This Row],[Year]]&gt;=2015,"Newer","Older")</f>
        <v>Newer</v>
      </c>
      <c r="K486" s="1" t="s">
        <v>8</v>
      </c>
    </row>
    <row r="487" spans="1:11" x14ac:dyDescent="0.35">
      <c r="A487" s="1" t="s">
        <v>536</v>
      </c>
      <c r="B487" s="1" t="s">
        <v>537</v>
      </c>
      <c r="C487">
        <v>4.5999999999999996</v>
      </c>
      <c r="D487" t="str">
        <f>IF(Table2_2[[#This Row],[User_Rating]]&lt;4.164816,"Outlier","Normal")</f>
        <v>Normal</v>
      </c>
      <c r="E487">
        <v>7508</v>
      </c>
      <c r="F487" t="str">
        <f>IF(Table2_2[[#This Row],[Reviews]]&gt;$N$13,"Outlier"," Normal")</f>
        <v xml:space="preserve"> Normal</v>
      </c>
      <c r="G487">
        <v>16</v>
      </c>
      <c r="H487" t="str">
        <f>IF(Table2_2[[#This Row],[Price]]&gt;$N$20,"Outlier","Normal")</f>
        <v>Normal</v>
      </c>
      <c r="I487">
        <v>2017</v>
      </c>
      <c r="J487" t="str">
        <f>IF(Table2_2[[#This Row],[Year]]&gt;=2015,"Newer","Older")</f>
        <v>Newer</v>
      </c>
      <c r="K487" s="1" t="s">
        <v>8</v>
      </c>
    </row>
    <row r="488" spans="1:11" x14ac:dyDescent="0.35">
      <c r="A488" s="1" t="s">
        <v>538</v>
      </c>
      <c r="B488" s="1" t="s">
        <v>539</v>
      </c>
      <c r="C488">
        <v>4.9000000000000004</v>
      </c>
      <c r="D488" t="str">
        <f>IF(Table2_2[[#This Row],[User_Rating]]&lt;4.164816,"Outlier","Normal")</f>
        <v>Normal</v>
      </c>
      <c r="E488">
        <v>8842</v>
      </c>
      <c r="F488" t="str">
        <f>IF(Table2_2[[#This Row],[Reviews]]&gt;$N$13,"Outlier"," Normal")</f>
        <v xml:space="preserve"> Normal</v>
      </c>
      <c r="G488">
        <v>10</v>
      </c>
      <c r="H488" t="str">
        <f>IF(Table2_2[[#This Row],[Price]]&gt;$N$20,"Outlier","Normal")</f>
        <v>Normal</v>
      </c>
      <c r="I488">
        <v>2016</v>
      </c>
      <c r="J488" t="str">
        <f>IF(Table2_2[[#This Row],[Year]]&gt;=2015,"Newer","Older")</f>
        <v>Newer</v>
      </c>
      <c r="K488" s="1" t="s">
        <v>11</v>
      </c>
    </row>
    <row r="489" spans="1:11" x14ac:dyDescent="0.35">
      <c r="A489" s="1" t="s">
        <v>538</v>
      </c>
      <c r="B489" s="1" t="s">
        <v>539</v>
      </c>
      <c r="C489">
        <v>4.9000000000000004</v>
      </c>
      <c r="D489" t="str">
        <f>IF(Table2_2[[#This Row],[User_Rating]]&lt;4.164816,"Outlier","Normal")</f>
        <v>Normal</v>
      </c>
      <c r="E489">
        <v>8842</v>
      </c>
      <c r="F489" t="str">
        <f>IF(Table2_2[[#This Row],[Reviews]]&gt;$N$13,"Outlier"," Normal")</f>
        <v xml:space="preserve"> Normal</v>
      </c>
      <c r="G489">
        <v>10</v>
      </c>
      <c r="H489" t="str">
        <f>IF(Table2_2[[#This Row],[Price]]&gt;$N$20,"Outlier","Normal")</f>
        <v>Normal</v>
      </c>
      <c r="I489">
        <v>2017</v>
      </c>
      <c r="J489" t="str">
        <f>IF(Table2_2[[#This Row],[Year]]&gt;=2015,"Newer","Older")</f>
        <v>Newer</v>
      </c>
      <c r="K489" s="1" t="s">
        <v>11</v>
      </c>
    </row>
    <row r="490" spans="1:11" x14ac:dyDescent="0.35">
      <c r="A490" s="1" t="s">
        <v>538</v>
      </c>
      <c r="B490" s="1" t="s">
        <v>539</v>
      </c>
      <c r="C490">
        <v>4.9000000000000004</v>
      </c>
      <c r="D490" t="str">
        <f>IF(Table2_2[[#This Row],[User_Rating]]&lt;4.164816,"Outlier","Normal")</f>
        <v>Normal</v>
      </c>
      <c r="E490">
        <v>8842</v>
      </c>
      <c r="F490" t="str">
        <f>IF(Table2_2[[#This Row],[Reviews]]&gt;$N$13,"Outlier"," Normal")</f>
        <v xml:space="preserve"> Normal</v>
      </c>
      <c r="G490">
        <v>10</v>
      </c>
      <c r="H490" t="str">
        <f>IF(Table2_2[[#This Row],[Price]]&gt;$N$20,"Outlier","Normal")</f>
        <v>Normal</v>
      </c>
      <c r="I490">
        <v>2018</v>
      </c>
      <c r="J490" t="str">
        <f>IF(Table2_2[[#This Row],[Year]]&gt;=2015,"Newer","Older")</f>
        <v>Newer</v>
      </c>
      <c r="K490" s="1" t="s">
        <v>11</v>
      </c>
    </row>
    <row r="491" spans="1:11" x14ac:dyDescent="0.35">
      <c r="A491" s="1" t="s">
        <v>538</v>
      </c>
      <c r="B491" s="1" t="s">
        <v>539</v>
      </c>
      <c r="C491">
        <v>4.9000000000000004</v>
      </c>
      <c r="D491" t="str">
        <f>IF(Table2_2[[#This Row],[User_Rating]]&lt;4.164816,"Outlier","Normal")</f>
        <v>Normal</v>
      </c>
      <c r="E491">
        <v>8842</v>
      </c>
      <c r="F491" t="str">
        <f>IF(Table2_2[[#This Row],[Reviews]]&gt;$N$13,"Outlier"," Normal")</f>
        <v xml:space="preserve"> Normal</v>
      </c>
      <c r="G491">
        <v>10</v>
      </c>
      <c r="H491" t="str">
        <f>IF(Table2_2[[#This Row],[Price]]&gt;$N$20,"Outlier","Normal")</f>
        <v>Normal</v>
      </c>
      <c r="I491">
        <v>2019</v>
      </c>
      <c r="J491" t="str">
        <f>IF(Table2_2[[#This Row],[Year]]&gt;=2015,"Newer","Older")</f>
        <v>Newer</v>
      </c>
      <c r="K491" s="1" t="s">
        <v>11</v>
      </c>
    </row>
    <row r="492" spans="1:11" x14ac:dyDescent="0.35">
      <c r="A492" s="1" t="s">
        <v>540</v>
      </c>
      <c r="B492" s="1" t="s">
        <v>541</v>
      </c>
      <c r="C492">
        <v>4.8</v>
      </c>
      <c r="D492" t="str">
        <f>IF(Table2_2[[#This Row],[User_Rating]]&lt;4.164816,"Outlier","Normal")</f>
        <v>Normal</v>
      </c>
      <c r="E492">
        <v>30183</v>
      </c>
      <c r="F492" t="str">
        <f>IF(Table2_2[[#This Row],[Reviews]]&gt;$N$13,"Outlier"," Normal")</f>
        <v xml:space="preserve"> Normal</v>
      </c>
      <c r="G492">
        <v>4</v>
      </c>
      <c r="H492" t="str">
        <f>IF(Table2_2[[#This Row],[Price]]&gt;$N$20,"Outlier","Normal")</f>
        <v>Normal</v>
      </c>
      <c r="I492">
        <v>2018</v>
      </c>
      <c r="J492" t="str">
        <f>IF(Table2_2[[#This Row],[Year]]&gt;=2015,"Newer","Older")</f>
        <v>Newer</v>
      </c>
      <c r="K492" s="1" t="s">
        <v>11</v>
      </c>
    </row>
    <row r="493" spans="1:11" x14ac:dyDescent="0.35">
      <c r="A493" s="1" t="s">
        <v>540</v>
      </c>
      <c r="B493" s="1" t="s">
        <v>541</v>
      </c>
      <c r="C493">
        <v>4.8</v>
      </c>
      <c r="D493" t="str">
        <f>IF(Table2_2[[#This Row],[User_Rating]]&lt;4.164816,"Outlier","Normal")</f>
        <v>Normal</v>
      </c>
      <c r="E493">
        <v>30183</v>
      </c>
      <c r="F493" t="str">
        <f>IF(Table2_2[[#This Row],[Reviews]]&gt;$N$13,"Outlier"," Normal")</f>
        <v xml:space="preserve"> Normal</v>
      </c>
      <c r="G493">
        <v>4</v>
      </c>
      <c r="H493" t="str">
        <f>IF(Table2_2[[#This Row],[Price]]&gt;$N$20,"Outlier","Normal")</f>
        <v>Normal</v>
      </c>
      <c r="I493">
        <v>2019</v>
      </c>
      <c r="J493" t="str">
        <f>IF(Table2_2[[#This Row],[Year]]&gt;=2015,"Newer","Older")</f>
        <v>Newer</v>
      </c>
      <c r="K493" s="1" t="s">
        <v>11</v>
      </c>
    </row>
    <row r="494" spans="1:11" x14ac:dyDescent="0.35">
      <c r="A494" s="1" t="s">
        <v>542</v>
      </c>
      <c r="B494" s="1" t="s">
        <v>543</v>
      </c>
      <c r="C494">
        <v>4.7</v>
      </c>
      <c r="D494" t="str">
        <f>IF(Table2_2[[#This Row],[User_Rating]]&lt;4.164816,"Outlier","Normal")</f>
        <v>Normal</v>
      </c>
      <c r="E494">
        <v>6169</v>
      </c>
      <c r="F494" t="str">
        <f>IF(Table2_2[[#This Row],[Reviews]]&gt;$N$13,"Outlier"," Normal")</f>
        <v xml:space="preserve"> Normal</v>
      </c>
      <c r="G494">
        <v>16</v>
      </c>
      <c r="H494" t="str">
        <f>IF(Table2_2[[#This Row],[Price]]&gt;$N$20,"Outlier","Normal")</f>
        <v>Normal</v>
      </c>
      <c r="I494">
        <v>2015</v>
      </c>
      <c r="J494" t="str">
        <f>IF(Table2_2[[#This Row],[Year]]&gt;=2015,"Newer","Older")</f>
        <v>Newer</v>
      </c>
      <c r="K494" s="1" t="s">
        <v>8</v>
      </c>
    </row>
    <row r="495" spans="1:11" x14ac:dyDescent="0.35">
      <c r="A495" s="1" t="s">
        <v>544</v>
      </c>
      <c r="B495" s="1" t="s">
        <v>545</v>
      </c>
      <c r="C495">
        <v>4.7</v>
      </c>
      <c r="D495" t="str">
        <f>IF(Table2_2[[#This Row],[User_Rating]]&lt;4.164816,"Outlier","Normal")</f>
        <v>Normal</v>
      </c>
      <c r="E495">
        <v>7034</v>
      </c>
      <c r="F495" t="str">
        <f>IF(Table2_2[[#This Row],[Reviews]]&gt;$N$13,"Outlier"," Normal")</f>
        <v xml:space="preserve"> Normal</v>
      </c>
      <c r="G495">
        <v>15</v>
      </c>
      <c r="H495" t="str">
        <f>IF(Table2_2[[#This Row],[Price]]&gt;$N$20,"Outlier","Normal")</f>
        <v>Normal</v>
      </c>
      <c r="I495">
        <v>2013</v>
      </c>
      <c r="J495" t="str">
        <f>IF(Table2_2[[#This Row],[Year]]&gt;=2015,"Newer","Older")</f>
        <v>Older</v>
      </c>
      <c r="K495" s="1" t="s">
        <v>8</v>
      </c>
    </row>
    <row r="496" spans="1:11" x14ac:dyDescent="0.35">
      <c r="A496" s="1" t="s">
        <v>546</v>
      </c>
      <c r="B496" s="1" t="s">
        <v>547</v>
      </c>
      <c r="C496">
        <v>4.5999999999999996</v>
      </c>
      <c r="D496" t="str">
        <f>IF(Table2_2[[#This Row],[User_Rating]]&lt;4.164816,"Outlier","Normal")</f>
        <v>Normal</v>
      </c>
      <c r="E496">
        <v>11034</v>
      </c>
      <c r="F496" t="str">
        <f>IF(Table2_2[[#This Row],[Reviews]]&gt;$N$13,"Outlier"," Normal")</f>
        <v xml:space="preserve"> Normal</v>
      </c>
      <c r="G496">
        <v>19</v>
      </c>
      <c r="H496" t="str">
        <f>IF(Table2_2[[#This Row],[Price]]&gt;$N$20,"Outlier","Normal")</f>
        <v>Normal</v>
      </c>
      <c r="I496">
        <v>2011</v>
      </c>
      <c r="J496" t="str">
        <f>IF(Table2_2[[#This Row],[Year]]&gt;=2015,"Newer","Older")</f>
        <v>Older</v>
      </c>
      <c r="K496" s="1" t="s">
        <v>8</v>
      </c>
    </row>
    <row r="497" spans="1:11" x14ac:dyDescent="0.35">
      <c r="A497" s="1" t="s">
        <v>546</v>
      </c>
      <c r="B497" s="1" t="s">
        <v>547</v>
      </c>
      <c r="C497">
        <v>4.5999999999999996</v>
      </c>
      <c r="D497" t="str">
        <f>IF(Table2_2[[#This Row],[User_Rating]]&lt;4.164816,"Outlier","Normal")</f>
        <v>Normal</v>
      </c>
      <c r="E497">
        <v>11034</v>
      </c>
      <c r="F497" t="str">
        <f>IF(Table2_2[[#This Row],[Reviews]]&gt;$N$13,"Outlier"," Normal")</f>
        <v xml:space="preserve"> Normal</v>
      </c>
      <c r="G497">
        <v>19</v>
      </c>
      <c r="H497" t="str">
        <f>IF(Table2_2[[#This Row],[Price]]&gt;$N$20,"Outlier","Normal")</f>
        <v>Normal</v>
      </c>
      <c r="I497">
        <v>2012</v>
      </c>
      <c r="J497" t="str">
        <f>IF(Table2_2[[#This Row],[Year]]&gt;=2015,"Newer","Older")</f>
        <v>Older</v>
      </c>
      <c r="K497" s="1" t="s">
        <v>8</v>
      </c>
    </row>
    <row r="498" spans="1:11" x14ac:dyDescent="0.35">
      <c r="A498" s="1" t="s">
        <v>548</v>
      </c>
      <c r="B498" s="1" t="s">
        <v>549</v>
      </c>
      <c r="C498">
        <v>4.5</v>
      </c>
      <c r="D498" t="str">
        <f>IF(Table2_2[[#This Row],[User_Rating]]&lt;4.164816,"Outlier","Normal")</f>
        <v>Normal</v>
      </c>
      <c r="E498">
        <v>7932</v>
      </c>
      <c r="F498" t="str">
        <f>IF(Table2_2[[#This Row],[Reviews]]&gt;$N$13,"Outlier"," Normal")</f>
        <v xml:space="preserve"> Normal</v>
      </c>
      <c r="G498">
        <v>9</v>
      </c>
      <c r="H498" t="str">
        <f>IF(Table2_2[[#This Row],[Price]]&gt;$N$20,"Outlier","Normal")</f>
        <v>Normal</v>
      </c>
      <c r="I498">
        <v>2017</v>
      </c>
      <c r="J498" t="str">
        <f>IF(Table2_2[[#This Row],[Year]]&gt;=2015,"Newer","Older")</f>
        <v>Newer</v>
      </c>
      <c r="K498" s="1" t="s">
        <v>11</v>
      </c>
    </row>
    <row r="499" spans="1:11" x14ac:dyDescent="0.35">
      <c r="A499" s="1" t="s">
        <v>550</v>
      </c>
      <c r="B499" s="1" t="s">
        <v>551</v>
      </c>
      <c r="C499">
        <v>4.5</v>
      </c>
      <c r="D499" t="str">
        <f>IF(Table2_2[[#This Row],[User_Rating]]&lt;4.164816,"Outlier","Normal")</f>
        <v>Normal</v>
      </c>
      <c r="E499">
        <v>1904</v>
      </c>
      <c r="F499" t="str">
        <f>IF(Table2_2[[#This Row],[Reviews]]&gt;$N$13,"Outlier"," Normal")</f>
        <v xml:space="preserve"> Normal</v>
      </c>
      <c r="G499">
        <v>23</v>
      </c>
      <c r="H499" t="str">
        <f>IF(Table2_2[[#This Row],[Price]]&gt;$N$20,"Outlier","Normal")</f>
        <v>Normal</v>
      </c>
      <c r="I499">
        <v>2012</v>
      </c>
      <c r="J499" t="str">
        <f>IF(Table2_2[[#This Row],[Year]]&gt;=2015,"Newer","Older")</f>
        <v>Older</v>
      </c>
      <c r="K499" s="1" t="s">
        <v>8</v>
      </c>
    </row>
    <row r="500" spans="1:11" x14ac:dyDescent="0.35">
      <c r="A500" s="1" t="s">
        <v>552</v>
      </c>
      <c r="B500" s="1" t="s">
        <v>553</v>
      </c>
      <c r="C500">
        <v>4.3</v>
      </c>
      <c r="D500" t="str">
        <f>IF(Table2_2[[#This Row],[User_Rating]]&lt;4.164816,"Outlier","Normal")</f>
        <v>Normal</v>
      </c>
      <c r="E500">
        <v>3319</v>
      </c>
      <c r="F500" t="str">
        <f>IF(Table2_2[[#This Row],[Reviews]]&gt;$N$13,"Outlier"," Normal")</f>
        <v xml:space="preserve"> Normal</v>
      </c>
      <c r="G500">
        <v>11</v>
      </c>
      <c r="H500" t="str">
        <f>IF(Table2_2[[#This Row],[Price]]&gt;$N$20,"Outlier","Normal")</f>
        <v>Normal</v>
      </c>
      <c r="I500">
        <v>2009</v>
      </c>
      <c r="J500" t="str">
        <f>IF(Table2_2[[#This Row],[Year]]&gt;=2015,"Newer","Older")</f>
        <v>Older</v>
      </c>
      <c r="K500" s="1" t="s">
        <v>8</v>
      </c>
    </row>
    <row r="501" spans="1:11" x14ac:dyDescent="0.35">
      <c r="A501" s="1" t="s">
        <v>552</v>
      </c>
      <c r="B501" s="1" t="s">
        <v>553</v>
      </c>
      <c r="C501">
        <v>4.3</v>
      </c>
      <c r="D501" t="str">
        <f>IF(Table2_2[[#This Row],[User_Rating]]&lt;4.164816,"Outlier","Normal")</f>
        <v>Normal</v>
      </c>
      <c r="E501">
        <v>3319</v>
      </c>
      <c r="F501" t="str">
        <f>IF(Table2_2[[#This Row],[Reviews]]&gt;$N$13,"Outlier"," Normal")</f>
        <v xml:space="preserve"> Normal</v>
      </c>
      <c r="G501">
        <v>11</v>
      </c>
      <c r="H501" t="str">
        <f>IF(Table2_2[[#This Row],[Price]]&gt;$N$20,"Outlier","Normal")</f>
        <v>Normal</v>
      </c>
      <c r="I501">
        <v>2010</v>
      </c>
      <c r="J501" t="str">
        <f>IF(Table2_2[[#This Row],[Year]]&gt;=2015,"Newer","Older")</f>
        <v>Older</v>
      </c>
      <c r="K501" s="1" t="s">
        <v>8</v>
      </c>
    </row>
    <row r="502" spans="1:11" x14ac:dyDescent="0.35">
      <c r="A502" s="1" t="s">
        <v>554</v>
      </c>
      <c r="B502" s="1" t="s">
        <v>555</v>
      </c>
      <c r="C502">
        <v>4.5999999999999996</v>
      </c>
      <c r="D502" t="str">
        <f>IF(Table2_2[[#This Row],[User_Rating]]&lt;4.164816,"Outlier","Normal")</f>
        <v>Normal</v>
      </c>
      <c r="E502">
        <v>11128</v>
      </c>
      <c r="F502" t="str">
        <f>IF(Table2_2[[#This Row],[Reviews]]&gt;$N$13,"Outlier"," Normal")</f>
        <v xml:space="preserve"> Normal</v>
      </c>
      <c r="G502">
        <v>23</v>
      </c>
      <c r="H502" t="str">
        <f>IF(Table2_2[[#This Row],[Price]]&gt;$N$20,"Outlier","Normal")</f>
        <v>Normal</v>
      </c>
      <c r="I502">
        <v>2014</v>
      </c>
      <c r="J502" t="str">
        <f>IF(Table2_2[[#This Row],[Year]]&gt;=2015,"Newer","Older")</f>
        <v>Older</v>
      </c>
      <c r="K502" s="1" t="s">
        <v>8</v>
      </c>
    </row>
    <row r="503" spans="1:11" x14ac:dyDescent="0.35">
      <c r="A503" s="1" t="s">
        <v>554</v>
      </c>
      <c r="B503" s="1" t="s">
        <v>555</v>
      </c>
      <c r="C503">
        <v>4.5999999999999996</v>
      </c>
      <c r="D503" t="str">
        <f>IF(Table2_2[[#This Row],[User_Rating]]&lt;4.164816,"Outlier","Normal")</f>
        <v>Normal</v>
      </c>
      <c r="E503">
        <v>11128</v>
      </c>
      <c r="F503" t="str">
        <f>IF(Table2_2[[#This Row],[Reviews]]&gt;$N$13,"Outlier"," Normal")</f>
        <v xml:space="preserve"> Normal</v>
      </c>
      <c r="G503">
        <v>23</v>
      </c>
      <c r="H503" t="str">
        <f>IF(Table2_2[[#This Row],[Price]]&gt;$N$20,"Outlier","Normal")</f>
        <v>Normal</v>
      </c>
      <c r="I503">
        <v>2015</v>
      </c>
      <c r="J503" t="str">
        <f>IF(Table2_2[[#This Row],[Year]]&gt;=2015,"Newer","Older")</f>
        <v>Newer</v>
      </c>
      <c r="K503" s="1" t="s">
        <v>8</v>
      </c>
    </row>
    <row r="504" spans="1:11" x14ac:dyDescent="0.35">
      <c r="A504" s="1" t="s">
        <v>554</v>
      </c>
      <c r="B504" s="1" t="s">
        <v>555</v>
      </c>
      <c r="C504">
        <v>4.5999999999999996</v>
      </c>
      <c r="D504" t="str">
        <f>IF(Table2_2[[#This Row],[User_Rating]]&lt;4.164816,"Outlier","Normal")</f>
        <v>Normal</v>
      </c>
      <c r="E504">
        <v>11128</v>
      </c>
      <c r="F504" t="str">
        <f>IF(Table2_2[[#This Row],[Reviews]]&gt;$N$13,"Outlier"," Normal")</f>
        <v xml:space="preserve"> Normal</v>
      </c>
      <c r="G504">
        <v>23</v>
      </c>
      <c r="H504" t="str">
        <f>IF(Table2_2[[#This Row],[Price]]&gt;$N$20,"Outlier","Normal")</f>
        <v>Normal</v>
      </c>
      <c r="I504">
        <v>2016</v>
      </c>
      <c r="J504" t="str">
        <f>IF(Table2_2[[#This Row],[Year]]&gt;=2015,"Newer","Older")</f>
        <v>Newer</v>
      </c>
      <c r="K504" s="1" t="s">
        <v>8</v>
      </c>
    </row>
    <row r="505" spans="1:11" x14ac:dyDescent="0.35">
      <c r="A505" s="1" t="s">
        <v>554</v>
      </c>
      <c r="B505" s="1" t="s">
        <v>555</v>
      </c>
      <c r="C505">
        <v>4.5999999999999996</v>
      </c>
      <c r="D505" t="str">
        <f>IF(Table2_2[[#This Row],[User_Rating]]&lt;4.164816,"Outlier","Normal")</f>
        <v>Normal</v>
      </c>
      <c r="E505">
        <v>11128</v>
      </c>
      <c r="F505" t="str">
        <f>IF(Table2_2[[#This Row],[Reviews]]&gt;$N$13,"Outlier"," Normal")</f>
        <v xml:space="preserve"> Normal</v>
      </c>
      <c r="G505">
        <v>23</v>
      </c>
      <c r="H505" t="str">
        <f>IF(Table2_2[[#This Row],[Price]]&gt;$N$20,"Outlier","Normal")</f>
        <v>Normal</v>
      </c>
      <c r="I505">
        <v>2017</v>
      </c>
      <c r="J505" t="str">
        <f>IF(Table2_2[[#This Row],[Year]]&gt;=2015,"Newer","Older")</f>
        <v>Newer</v>
      </c>
      <c r="K505" s="1" t="s">
        <v>8</v>
      </c>
    </row>
    <row r="506" spans="1:11" x14ac:dyDescent="0.35">
      <c r="A506" s="1" t="s">
        <v>556</v>
      </c>
      <c r="B506" s="1" t="s">
        <v>557</v>
      </c>
      <c r="C506">
        <v>4.3</v>
      </c>
      <c r="D506" t="str">
        <f>IF(Table2_2[[#This Row],[User_Rating]]&lt;4.164816,"Outlier","Normal")</f>
        <v>Normal</v>
      </c>
      <c r="E506">
        <v>5977</v>
      </c>
      <c r="F506" t="str">
        <f>IF(Table2_2[[#This Row],[Reviews]]&gt;$N$13,"Outlier"," Normal")</f>
        <v xml:space="preserve"> Normal</v>
      </c>
      <c r="G506">
        <v>12</v>
      </c>
      <c r="H506" t="str">
        <f>IF(Table2_2[[#This Row],[Price]]&gt;$N$20,"Outlier","Normal")</f>
        <v>Normal</v>
      </c>
      <c r="I506">
        <v>2011</v>
      </c>
      <c r="J506" t="str">
        <f>IF(Table2_2[[#This Row],[Year]]&gt;=2015,"Newer","Older")</f>
        <v>Older</v>
      </c>
      <c r="K506" s="1" t="s">
        <v>8</v>
      </c>
    </row>
    <row r="507" spans="1:11" x14ac:dyDescent="0.35">
      <c r="A507" s="1" t="s">
        <v>558</v>
      </c>
      <c r="B507" s="1" t="s">
        <v>183</v>
      </c>
      <c r="C507">
        <v>4.8</v>
      </c>
      <c r="D507" t="str">
        <f>IF(Table2_2[[#This Row],[User_Rating]]&lt;4.164816,"Outlier","Normal")</f>
        <v>Normal</v>
      </c>
      <c r="E507">
        <v>26234</v>
      </c>
      <c r="F507" t="str">
        <f>IF(Table2_2[[#This Row],[Reviews]]&gt;$N$13,"Outlier"," Normal")</f>
        <v xml:space="preserve"> Normal</v>
      </c>
      <c r="G507">
        <v>0</v>
      </c>
      <c r="H507" t="str">
        <f>IF(Table2_2[[#This Row],[Price]]&gt;$N$20,"Outlier","Normal")</f>
        <v>Normal</v>
      </c>
      <c r="I507">
        <v>2013</v>
      </c>
      <c r="J507" t="str">
        <f>IF(Table2_2[[#This Row],[Year]]&gt;=2015,"Newer","Older")</f>
        <v>Older</v>
      </c>
      <c r="K507" s="1" t="s">
        <v>11</v>
      </c>
    </row>
    <row r="508" spans="1:11" x14ac:dyDescent="0.35">
      <c r="A508" s="1" t="s">
        <v>558</v>
      </c>
      <c r="B508" s="1" t="s">
        <v>183</v>
      </c>
      <c r="C508">
        <v>4.8</v>
      </c>
      <c r="D508" t="str">
        <f>IF(Table2_2[[#This Row],[User_Rating]]&lt;4.164816,"Outlier","Normal")</f>
        <v>Normal</v>
      </c>
      <c r="E508">
        <v>26234</v>
      </c>
      <c r="F508" t="str">
        <f>IF(Table2_2[[#This Row],[Reviews]]&gt;$N$13,"Outlier"," Normal")</f>
        <v xml:space="preserve"> Normal</v>
      </c>
      <c r="G508">
        <v>0</v>
      </c>
      <c r="H508" t="str">
        <f>IF(Table2_2[[#This Row],[Price]]&gt;$N$20,"Outlier","Normal")</f>
        <v>Normal</v>
      </c>
      <c r="I508">
        <v>2014</v>
      </c>
      <c r="J508" t="str">
        <f>IF(Table2_2[[#This Row],[Year]]&gt;=2015,"Newer","Older")</f>
        <v>Older</v>
      </c>
      <c r="K508" s="1" t="s">
        <v>11</v>
      </c>
    </row>
    <row r="509" spans="1:11" x14ac:dyDescent="0.35">
      <c r="A509" s="1" t="s">
        <v>558</v>
      </c>
      <c r="B509" s="1" t="s">
        <v>183</v>
      </c>
      <c r="C509">
        <v>4.8</v>
      </c>
      <c r="D509" t="str">
        <f>IF(Table2_2[[#This Row],[User_Rating]]&lt;4.164816,"Outlier","Normal")</f>
        <v>Normal</v>
      </c>
      <c r="E509">
        <v>26234</v>
      </c>
      <c r="F509" t="str">
        <f>IF(Table2_2[[#This Row],[Reviews]]&gt;$N$13,"Outlier"," Normal")</f>
        <v xml:space="preserve"> Normal</v>
      </c>
      <c r="G509">
        <v>0</v>
      </c>
      <c r="H509" t="str">
        <f>IF(Table2_2[[#This Row],[Price]]&gt;$N$20,"Outlier","Normal")</f>
        <v>Normal</v>
      </c>
      <c r="I509">
        <v>2015</v>
      </c>
      <c r="J509" t="str">
        <f>IF(Table2_2[[#This Row],[Year]]&gt;=2015,"Newer","Older")</f>
        <v>Newer</v>
      </c>
      <c r="K509" s="1" t="s">
        <v>11</v>
      </c>
    </row>
    <row r="510" spans="1:11" x14ac:dyDescent="0.35">
      <c r="A510" s="1" t="s">
        <v>558</v>
      </c>
      <c r="B510" s="1" t="s">
        <v>183</v>
      </c>
      <c r="C510">
        <v>4.8</v>
      </c>
      <c r="D510" t="str">
        <f>IF(Table2_2[[#This Row],[User_Rating]]&lt;4.164816,"Outlier","Normal")</f>
        <v>Normal</v>
      </c>
      <c r="E510">
        <v>26234</v>
      </c>
      <c r="F510" t="str">
        <f>IF(Table2_2[[#This Row],[Reviews]]&gt;$N$13,"Outlier"," Normal")</f>
        <v xml:space="preserve"> Normal</v>
      </c>
      <c r="G510">
        <v>0</v>
      </c>
      <c r="H510" t="str">
        <f>IF(Table2_2[[#This Row],[Price]]&gt;$N$20,"Outlier","Normal")</f>
        <v>Normal</v>
      </c>
      <c r="I510">
        <v>2016</v>
      </c>
      <c r="J510" t="str">
        <f>IF(Table2_2[[#This Row],[Year]]&gt;=2015,"Newer","Older")</f>
        <v>Newer</v>
      </c>
      <c r="K510" s="1" t="s">
        <v>11</v>
      </c>
    </row>
    <row r="511" spans="1:11" x14ac:dyDescent="0.35">
      <c r="A511" s="1" t="s">
        <v>558</v>
      </c>
      <c r="B511" s="1" t="s">
        <v>183</v>
      </c>
      <c r="C511">
        <v>4.8</v>
      </c>
      <c r="D511" t="str">
        <f>IF(Table2_2[[#This Row],[User_Rating]]&lt;4.164816,"Outlier","Normal")</f>
        <v>Normal</v>
      </c>
      <c r="E511">
        <v>26234</v>
      </c>
      <c r="F511" t="str">
        <f>IF(Table2_2[[#This Row],[Reviews]]&gt;$N$13,"Outlier"," Normal")</f>
        <v xml:space="preserve"> Normal</v>
      </c>
      <c r="G511">
        <v>7</v>
      </c>
      <c r="H511" t="str">
        <f>IF(Table2_2[[#This Row],[Price]]&gt;$N$20,"Outlier","Normal")</f>
        <v>Normal</v>
      </c>
      <c r="I511">
        <v>2019</v>
      </c>
      <c r="J511" t="str">
        <f>IF(Table2_2[[#This Row],[Year]]&gt;=2015,"Newer","Older")</f>
        <v>Newer</v>
      </c>
      <c r="K511" s="1" t="s">
        <v>11</v>
      </c>
    </row>
    <row r="512" spans="1:11" x14ac:dyDescent="0.35">
      <c r="A512" s="1" t="s">
        <v>559</v>
      </c>
      <c r="B512" s="1" t="s">
        <v>382</v>
      </c>
      <c r="C512">
        <v>4.5999999999999996</v>
      </c>
      <c r="D512" t="str">
        <f>IF(Table2_2[[#This Row],[User_Rating]]&lt;4.164816,"Outlier","Normal")</f>
        <v>Normal</v>
      </c>
      <c r="E512">
        <v>4360</v>
      </c>
      <c r="F512" t="str">
        <f>IF(Table2_2[[#This Row],[Reviews]]&gt;$N$13,"Outlier"," Normal")</f>
        <v xml:space="preserve"> Normal</v>
      </c>
      <c r="G512">
        <v>21</v>
      </c>
      <c r="H512" t="str">
        <f>IF(Table2_2[[#This Row],[Price]]&gt;$N$20,"Outlier","Normal")</f>
        <v>Normal</v>
      </c>
      <c r="I512">
        <v>2017</v>
      </c>
      <c r="J512" t="str">
        <f>IF(Table2_2[[#This Row],[Year]]&gt;=2015,"Newer","Older")</f>
        <v>Newer</v>
      </c>
      <c r="K512" s="1" t="s">
        <v>8</v>
      </c>
    </row>
    <row r="513" spans="1:11" x14ac:dyDescent="0.35">
      <c r="A513" s="1" t="s">
        <v>560</v>
      </c>
      <c r="B513" s="1" t="s">
        <v>561</v>
      </c>
      <c r="C513">
        <v>4.8</v>
      </c>
      <c r="D513" t="str">
        <f>IF(Table2_2[[#This Row],[User_Rating]]&lt;4.164816,"Outlier","Normal")</f>
        <v>Normal</v>
      </c>
      <c r="E513">
        <v>2282</v>
      </c>
      <c r="F513" t="str">
        <f>IF(Table2_2[[#This Row],[Reviews]]&gt;$N$13,"Outlier"," Normal")</f>
        <v xml:space="preserve"> Normal</v>
      </c>
      <c r="G513">
        <v>21</v>
      </c>
      <c r="H513" t="str">
        <f>IF(Table2_2[[#This Row],[Price]]&gt;$N$20,"Outlier","Normal")</f>
        <v>Normal</v>
      </c>
      <c r="I513">
        <v>2010</v>
      </c>
      <c r="J513" t="str">
        <f>IF(Table2_2[[#This Row],[Year]]&gt;=2015,"Newer","Older")</f>
        <v>Older</v>
      </c>
      <c r="K513" s="1" t="s">
        <v>11</v>
      </c>
    </row>
    <row r="514" spans="1:11" x14ac:dyDescent="0.35">
      <c r="A514" s="1" t="s">
        <v>562</v>
      </c>
      <c r="B514" s="1" t="s">
        <v>563</v>
      </c>
      <c r="C514">
        <v>4.5</v>
      </c>
      <c r="D514" t="str">
        <f>IF(Table2_2[[#This Row],[User_Rating]]&lt;4.164816,"Outlier","Normal")</f>
        <v>Normal</v>
      </c>
      <c r="E514">
        <v>438</v>
      </c>
      <c r="F514" t="str">
        <f>IF(Table2_2[[#This Row],[Reviews]]&gt;$N$13,"Outlier"," Normal")</f>
        <v xml:space="preserve"> Normal</v>
      </c>
      <c r="G514">
        <v>15</v>
      </c>
      <c r="H514" t="str">
        <f>IF(Table2_2[[#This Row],[Price]]&gt;$N$20,"Outlier","Normal")</f>
        <v>Normal</v>
      </c>
      <c r="I514">
        <v>2009</v>
      </c>
      <c r="J514" t="str">
        <f>IF(Table2_2[[#This Row],[Year]]&gt;=2015,"Newer","Older")</f>
        <v>Older</v>
      </c>
      <c r="K514" s="1" t="s">
        <v>8</v>
      </c>
    </row>
    <row r="515" spans="1:11" x14ac:dyDescent="0.35">
      <c r="A515" s="1" t="s">
        <v>564</v>
      </c>
      <c r="B515" s="1" t="s">
        <v>74</v>
      </c>
      <c r="C515">
        <v>4.7</v>
      </c>
      <c r="D515" t="str">
        <f>IF(Table2_2[[#This Row],[User_Rating]]&lt;4.164816,"Outlier","Normal")</f>
        <v>Normal</v>
      </c>
      <c r="E515">
        <v>11676</v>
      </c>
      <c r="F515" t="str">
        <f>IF(Table2_2[[#This Row],[Reviews]]&gt;$N$13,"Outlier"," Normal")</f>
        <v xml:space="preserve"> Normal</v>
      </c>
      <c r="G515">
        <v>9</v>
      </c>
      <c r="H515" t="str">
        <f>IF(Table2_2[[#This Row],[Price]]&gt;$N$20,"Outlier","Normal")</f>
        <v>Normal</v>
      </c>
      <c r="I515">
        <v>2009</v>
      </c>
      <c r="J515" t="str">
        <f>IF(Table2_2[[#This Row],[Year]]&gt;=2015,"Newer","Older")</f>
        <v>Older</v>
      </c>
      <c r="K515" s="1" t="s">
        <v>11</v>
      </c>
    </row>
    <row r="516" spans="1:11" x14ac:dyDescent="0.35">
      <c r="A516" s="1" t="s">
        <v>565</v>
      </c>
      <c r="B516" s="1" t="s">
        <v>59</v>
      </c>
      <c r="C516">
        <v>4.5</v>
      </c>
      <c r="D516" t="str">
        <f>IF(Table2_2[[#This Row],[User_Rating]]&lt;4.164816,"Outlier","Normal")</f>
        <v>Normal</v>
      </c>
      <c r="E516">
        <v>2586</v>
      </c>
      <c r="F516" t="str">
        <f>IF(Table2_2[[#This Row],[Reviews]]&gt;$N$13,"Outlier"," Normal")</f>
        <v xml:space="preserve"> Normal</v>
      </c>
      <c r="G516">
        <v>5</v>
      </c>
      <c r="H516" t="str">
        <f>IF(Table2_2[[#This Row],[Price]]&gt;$N$20,"Outlier","Normal")</f>
        <v>Normal</v>
      </c>
      <c r="I516">
        <v>2014</v>
      </c>
      <c r="J516" t="str">
        <f>IF(Table2_2[[#This Row],[Year]]&gt;=2015,"Newer","Older")</f>
        <v>Older</v>
      </c>
      <c r="K516" s="1" t="s">
        <v>11</v>
      </c>
    </row>
    <row r="517" spans="1:11" x14ac:dyDescent="0.35">
      <c r="A517" s="1" t="s">
        <v>566</v>
      </c>
      <c r="B517" s="1" t="s">
        <v>567</v>
      </c>
      <c r="C517">
        <v>4.8</v>
      </c>
      <c r="D517" t="str">
        <f>IF(Table2_2[[#This Row],[User_Rating]]&lt;4.164816,"Outlier","Normal")</f>
        <v>Normal</v>
      </c>
      <c r="E517">
        <v>29673</v>
      </c>
      <c r="F517" t="str">
        <f>IF(Table2_2[[#This Row],[Reviews]]&gt;$N$13,"Outlier"," Normal")</f>
        <v xml:space="preserve"> Normal</v>
      </c>
      <c r="G517">
        <v>16</v>
      </c>
      <c r="H517" t="str">
        <f>IF(Table2_2[[#This Row],[Price]]&gt;$N$20,"Outlier","Normal")</f>
        <v>Normal</v>
      </c>
      <c r="I517">
        <v>2010</v>
      </c>
      <c r="J517" t="str">
        <f>IF(Table2_2[[#This Row],[Year]]&gt;=2015,"Newer","Older")</f>
        <v>Older</v>
      </c>
      <c r="K517" s="1" t="s">
        <v>8</v>
      </c>
    </row>
    <row r="518" spans="1:11" x14ac:dyDescent="0.35">
      <c r="A518" s="1" t="s">
        <v>566</v>
      </c>
      <c r="B518" s="1" t="s">
        <v>567</v>
      </c>
      <c r="C518">
        <v>4.8</v>
      </c>
      <c r="D518" t="str">
        <f>IF(Table2_2[[#This Row],[User_Rating]]&lt;4.164816,"Outlier","Normal")</f>
        <v>Normal</v>
      </c>
      <c r="E518">
        <v>29673</v>
      </c>
      <c r="F518" t="str">
        <f>IF(Table2_2[[#This Row],[Reviews]]&gt;$N$13,"Outlier"," Normal")</f>
        <v xml:space="preserve"> Normal</v>
      </c>
      <c r="G518">
        <v>16</v>
      </c>
      <c r="H518" t="str">
        <f>IF(Table2_2[[#This Row],[Price]]&gt;$N$20,"Outlier","Normal")</f>
        <v>Normal</v>
      </c>
      <c r="I518">
        <v>2011</v>
      </c>
      <c r="J518" t="str">
        <f>IF(Table2_2[[#This Row],[Year]]&gt;=2015,"Newer","Older")</f>
        <v>Older</v>
      </c>
      <c r="K518" s="1" t="s">
        <v>8</v>
      </c>
    </row>
    <row r="519" spans="1:11" x14ac:dyDescent="0.35">
      <c r="A519" s="1" t="s">
        <v>566</v>
      </c>
      <c r="B519" s="1" t="s">
        <v>567</v>
      </c>
      <c r="C519">
        <v>4.8</v>
      </c>
      <c r="D519" t="str">
        <f>IF(Table2_2[[#This Row],[User_Rating]]&lt;4.164816,"Outlier","Normal")</f>
        <v>Normal</v>
      </c>
      <c r="E519">
        <v>29673</v>
      </c>
      <c r="F519" t="str">
        <f>IF(Table2_2[[#This Row],[Reviews]]&gt;$N$13,"Outlier"," Normal")</f>
        <v xml:space="preserve"> Normal</v>
      </c>
      <c r="G519">
        <v>16</v>
      </c>
      <c r="H519" t="str">
        <f>IF(Table2_2[[#This Row],[Price]]&gt;$N$20,"Outlier","Normal")</f>
        <v>Normal</v>
      </c>
      <c r="I519">
        <v>2012</v>
      </c>
      <c r="J519" t="str">
        <f>IF(Table2_2[[#This Row],[Year]]&gt;=2015,"Newer","Older")</f>
        <v>Older</v>
      </c>
      <c r="K519" s="1" t="s">
        <v>8</v>
      </c>
    </row>
    <row r="520" spans="1:11" x14ac:dyDescent="0.35">
      <c r="A520" s="1" t="s">
        <v>566</v>
      </c>
      <c r="B520" s="1" t="s">
        <v>567</v>
      </c>
      <c r="C520">
        <v>4.8</v>
      </c>
      <c r="D520" t="str">
        <f>IF(Table2_2[[#This Row],[User_Rating]]&lt;4.164816,"Outlier","Normal")</f>
        <v>Normal</v>
      </c>
      <c r="E520">
        <v>29673</v>
      </c>
      <c r="F520" t="str">
        <f>IF(Table2_2[[#This Row],[Reviews]]&gt;$N$13,"Outlier"," Normal")</f>
        <v xml:space="preserve"> Normal</v>
      </c>
      <c r="G520">
        <v>13</v>
      </c>
      <c r="H520" t="str">
        <f>IF(Table2_2[[#This Row],[Price]]&gt;$N$20,"Outlier","Normal")</f>
        <v>Normal</v>
      </c>
      <c r="I520">
        <v>2014</v>
      </c>
      <c r="J520" t="str">
        <f>IF(Table2_2[[#This Row],[Year]]&gt;=2015,"Newer","Older")</f>
        <v>Older</v>
      </c>
      <c r="K520" s="1" t="s">
        <v>8</v>
      </c>
    </row>
    <row r="521" spans="1:11" x14ac:dyDescent="0.35">
      <c r="A521" s="1" t="s">
        <v>566</v>
      </c>
      <c r="B521" s="1" t="s">
        <v>567</v>
      </c>
      <c r="C521">
        <v>4.8</v>
      </c>
      <c r="D521" t="str">
        <f>IF(Table2_2[[#This Row],[User_Rating]]&lt;4.164816,"Outlier","Normal")</f>
        <v>Normal</v>
      </c>
      <c r="E521">
        <v>29673</v>
      </c>
      <c r="F521" t="str">
        <f>IF(Table2_2[[#This Row],[Reviews]]&gt;$N$13,"Outlier"," Normal")</f>
        <v xml:space="preserve"> Normal</v>
      </c>
      <c r="G521">
        <v>16</v>
      </c>
      <c r="H521" t="str">
        <f>IF(Table2_2[[#This Row],[Price]]&gt;$N$20,"Outlier","Normal")</f>
        <v>Normal</v>
      </c>
      <c r="I521">
        <v>2014</v>
      </c>
      <c r="J521" t="str">
        <f>IF(Table2_2[[#This Row],[Year]]&gt;=2015,"Newer","Older")</f>
        <v>Older</v>
      </c>
      <c r="K521" s="1" t="s">
        <v>8</v>
      </c>
    </row>
    <row r="522" spans="1:11" x14ac:dyDescent="0.35">
      <c r="A522" s="1" t="s">
        <v>568</v>
      </c>
      <c r="B522" s="1" t="s">
        <v>10</v>
      </c>
      <c r="C522">
        <v>4.3</v>
      </c>
      <c r="D522" t="str">
        <f>IF(Table2_2[[#This Row],[User_Rating]]&lt;4.164816,"Outlier","Normal")</f>
        <v>Normal</v>
      </c>
      <c r="E522">
        <v>6740</v>
      </c>
      <c r="F522" t="str">
        <f>IF(Table2_2[[#This Row],[Reviews]]&gt;$N$13,"Outlier"," Normal")</f>
        <v xml:space="preserve"> Normal</v>
      </c>
      <c r="G522">
        <v>20</v>
      </c>
      <c r="H522" t="str">
        <f>IF(Table2_2[[#This Row],[Price]]&gt;$N$20,"Outlier","Normal")</f>
        <v>Normal</v>
      </c>
      <c r="I522">
        <v>2009</v>
      </c>
      <c r="J522" t="str">
        <f>IF(Table2_2[[#This Row],[Year]]&gt;=2015,"Newer","Older")</f>
        <v>Older</v>
      </c>
      <c r="K522" s="1" t="s">
        <v>11</v>
      </c>
    </row>
    <row r="523" spans="1:11" x14ac:dyDescent="0.35">
      <c r="A523" s="1" t="s">
        <v>569</v>
      </c>
      <c r="B523" s="1" t="s">
        <v>278</v>
      </c>
      <c r="C523">
        <v>4.9000000000000004</v>
      </c>
      <c r="D523" t="str">
        <f>IF(Table2_2[[#This Row],[User_Rating]]&lt;4.164816,"Outlier","Normal")</f>
        <v>Normal</v>
      </c>
      <c r="E523">
        <v>5956</v>
      </c>
      <c r="F523" t="str">
        <f>IF(Table2_2[[#This Row],[Reviews]]&gt;$N$13,"Outlier"," Normal")</f>
        <v xml:space="preserve"> Normal</v>
      </c>
      <c r="G523">
        <v>11</v>
      </c>
      <c r="H523" t="str">
        <f>IF(Table2_2[[#This Row],[Price]]&gt;$N$20,"Outlier","Normal")</f>
        <v>Normal</v>
      </c>
      <c r="I523">
        <v>2019</v>
      </c>
      <c r="J523" t="str">
        <f>IF(Table2_2[[#This Row],[Year]]&gt;=2015,"Newer","Older")</f>
        <v>Newer</v>
      </c>
      <c r="K523" s="1" t="s">
        <v>8</v>
      </c>
    </row>
    <row r="524" spans="1:11" x14ac:dyDescent="0.35">
      <c r="A524" s="1" t="s">
        <v>570</v>
      </c>
      <c r="B524" s="1" t="s">
        <v>571</v>
      </c>
      <c r="C524">
        <v>4.8</v>
      </c>
      <c r="D524" t="str">
        <f>IF(Table2_2[[#This Row],[User_Rating]]&lt;4.164816,"Outlier","Normal")</f>
        <v>Normal</v>
      </c>
      <c r="E524">
        <v>6108</v>
      </c>
      <c r="F524" t="str">
        <f>IF(Table2_2[[#This Row],[Reviews]]&gt;$N$13,"Outlier"," Normal")</f>
        <v xml:space="preserve"> Normal</v>
      </c>
      <c r="G524">
        <v>4</v>
      </c>
      <c r="H524" t="str">
        <f>IF(Table2_2[[#This Row],[Price]]&gt;$N$20,"Outlier","Normal")</f>
        <v>Normal</v>
      </c>
      <c r="I524">
        <v>2019</v>
      </c>
      <c r="J524" t="str">
        <f>IF(Table2_2[[#This Row],[Year]]&gt;=2015,"Newer","Older")</f>
        <v>Newer</v>
      </c>
      <c r="K524" s="1" t="s">
        <v>8</v>
      </c>
    </row>
    <row r="525" spans="1:11" x14ac:dyDescent="0.35">
      <c r="A525" s="1" t="s">
        <v>572</v>
      </c>
      <c r="B525" s="1" t="s">
        <v>250</v>
      </c>
      <c r="C525">
        <v>4.7</v>
      </c>
      <c r="D525" t="str">
        <f>IF(Table2_2[[#This Row],[User_Rating]]&lt;4.164816,"Outlier","Normal")</f>
        <v>Normal</v>
      </c>
      <c r="E525">
        <v>4585</v>
      </c>
      <c r="F525" t="str">
        <f>IF(Table2_2[[#This Row],[Reviews]]&gt;$N$13,"Outlier"," Normal")</f>
        <v xml:space="preserve"> Normal</v>
      </c>
      <c r="G525">
        <v>9</v>
      </c>
      <c r="H525" t="str">
        <f>IF(Table2_2[[#This Row],[Price]]&gt;$N$20,"Outlier","Normal")</f>
        <v>Normal</v>
      </c>
      <c r="I525">
        <v>2016</v>
      </c>
      <c r="J525" t="str">
        <f>IF(Table2_2[[#This Row],[Year]]&gt;=2015,"Newer","Older")</f>
        <v>Newer</v>
      </c>
      <c r="K525" s="1" t="s">
        <v>8</v>
      </c>
    </row>
    <row r="526" spans="1:11" x14ac:dyDescent="0.35">
      <c r="A526" s="1" t="s">
        <v>573</v>
      </c>
      <c r="B526" s="1" t="s">
        <v>574</v>
      </c>
      <c r="C526">
        <v>4.8</v>
      </c>
      <c r="D526" t="str">
        <f>IF(Table2_2[[#This Row],[User_Rating]]&lt;4.164816,"Outlier","Normal")</f>
        <v>Normal</v>
      </c>
      <c r="E526">
        <v>3829</v>
      </c>
      <c r="F526" t="str">
        <f>IF(Table2_2[[#This Row],[Reviews]]&gt;$N$13,"Outlier"," Normal")</f>
        <v xml:space="preserve"> Normal</v>
      </c>
      <c r="G526">
        <v>42</v>
      </c>
      <c r="H526" t="str">
        <f>IF(Table2_2[[#This Row],[Price]]&gt;$N$20,"Outlier","Normal")</f>
        <v>Outlier</v>
      </c>
      <c r="I526">
        <v>2009</v>
      </c>
      <c r="J526" t="str">
        <f>IF(Table2_2[[#This Row],[Year]]&gt;=2015,"Newer","Older")</f>
        <v>Older</v>
      </c>
      <c r="K526" s="1" t="s">
        <v>11</v>
      </c>
    </row>
    <row r="527" spans="1:11" x14ac:dyDescent="0.35">
      <c r="A527" s="1" t="s">
        <v>575</v>
      </c>
      <c r="B527" s="1" t="s">
        <v>576</v>
      </c>
      <c r="C527">
        <v>4.5</v>
      </c>
      <c r="D527" t="str">
        <f>IF(Table2_2[[#This Row],[User_Rating]]&lt;4.164816,"Outlier","Normal")</f>
        <v>Normal</v>
      </c>
      <c r="E527">
        <v>8958</v>
      </c>
      <c r="F527" t="str">
        <f>IF(Table2_2[[#This Row],[Reviews]]&gt;$N$13,"Outlier"," Normal")</f>
        <v xml:space="preserve"> Normal</v>
      </c>
      <c r="G527">
        <v>12</v>
      </c>
      <c r="H527" t="str">
        <f>IF(Table2_2[[#This Row],[Price]]&gt;$N$20,"Outlier","Normal")</f>
        <v>Normal</v>
      </c>
      <c r="I527">
        <v>2011</v>
      </c>
      <c r="J527" t="str">
        <f>IF(Table2_2[[#This Row],[Year]]&gt;=2015,"Newer","Older")</f>
        <v>Older</v>
      </c>
      <c r="K527" s="1" t="s">
        <v>11</v>
      </c>
    </row>
    <row r="528" spans="1:11" x14ac:dyDescent="0.35">
      <c r="A528" s="1" t="s">
        <v>577</v>
      </c>
      <c r="B528" s="1" t="s">
        <v>578</v>
      </c>
      <c r="C528">
        <v>4.5999999999999996</v>
      </c>
      <c r="D528" t="str">
        <f>IF(Table2_2[[#This Row],[User_Rating]]&lt;4.164816,"Outlier","Normal")</f>
        <v>Normal</v>
      </c>
      <c r="E528">
        <v>5492</v>
      </c>
      <c r="F528" t="str">
        <f>IF(Table2_2[[#This Row],[Reviews]]&gt;$N$13,"Outlier"," Normal")</f>
        <v xml:space="preserve"> Normal</v>
      </c>
      <c r="G528">
        <v>18</v>
      </c>
      <c r="H528" t="str">
        <f>IF(Table2_2[[#This Row],[Price]]&gt;$N$20,"Outlier","Normal")</f>
        <v>Normal</v>
      </c>
      <c r="I528">
        <v>2017</v>
      </c>
      <c r="J528" t="str">
        <f>IF(Table2_2[[#This Row],[Year]]&gt;=2015,"Newer","Older")</f>
        <v>Newer</v>
      </c>
      <c r="K528" s="1" t="s">
        <v>8</v>
      </c>
    </row>
    <row r="529" spans="1:11" x14ac:dyDescent="0.35">
      <c r="A529" s="1" t="s">
        <v>579</v>
      </c>
      <c r="B529" s="1" t="s">
        <v>580</v>
      </c>
      <c r="C529">
        <v>4.7</v>
      </c>
      <c r="D529" t="str">
        <f>IF(Table2_2[[#This Row],[User_Rating]]&lt;4.164816,"Outlier","Normal")</f>
        <v>Normal</v>
      </c>
      <c r="E529">
        <v>9292</v>
      </c>
      <c r="F529" t="str">
        <f>IF(Table2_2[[#This Row],[Reviews]]&gt;$N$13,"Outlier"," Normal")</f>
        <v xml:space="preserve"> Normal</v>
      </c>
      <c r="G529">
        <v>17</v>
      </c>
      <c r="H529" t="str">
        <f>IF(Table2_2[[#This Row],[Price]]&gt;$N$20,"Outlier","Normal")</f>
        <v>Normal</v>
      </c>
      <c r="I529">
        <v>2014</v>
      </c>
      <c r="J529" t="str">
        <f>IF(Table2_2[[#This Row],[Year]]&gt;=2015,"Newer","Older")</f>
        <v>Older</v>
      </c>
      <c r="K529" s="1" t="s">
        <v>8</v>
      </c>
    </row>
    <row r="530" spans="1:11" x14ac:dyDescent="0.35">
      <c r="A530" s="1" t="s">
        <v>581</v>
      </c>
      <c r="B530" s="1" t="s">
        <v>318</v>
      </c>
      <c r="C530">
        <v>4.7</v>
      </c>
      <c r="D530" t="str">
        <f>IF(Table2_2[[#This Row],[User_Rating]]&lt;4.164816,"Outlier","Normal")</f>
        <v>Normal</v>
      </c>
      <c r="E530">
        <v>1873</v>
      </c>
      <c r="F530" t="str">
        <f>IF(Table2_2[[#This Row],[Reviews]]&gt;$N$13,"Outlier"," Normal")</f>
        <v xml:space="preserve"> Normal</v>
      </c>
      <c r="G530">
        <v>14</v>
      </c>
      <c r="H530" t="str">
        <f>IF(Table2_2[[#This Row],[Price]]&gt;$N$20,"Outlier","Normal")</f>
        <v>Normal</v>
      </c>
      <c r="I530">
        <v>2015</v>
      </c>
      <c r="J530" t="str">
        <f>IF(Table2_2[[#This Row],[Year]]&gt;=2015,"Newer","Older")</f>
        <v>Newer</v>
      </c>
      <c r="K530" s="1" t="s">
        <v>11</v>
      </c>
    </row>
    <row r="531" spans="1:11" x14ac:dyDescent="0.35">
      <c r="A531" s="1" t="s">
        <v>582</v>
      </c>
      <c r="B531" s="1" t="s">
        <v>583</v>
      </c>
      <c r="C531">
        <v>4.8</v>
      </c>
      <c r="D531" t="str">
        <f>IF(Table2_2[[#This Row],[User_Rating]]&lt;4.164816,"Outlier","Normal")</f>
        <v>Normal</v>
      </c>
      <c r="E531">
        <v>8170</v>
      </c>
      <c r="F531" t="str">
        <f>IF(Table2_2[[#This Row],[Reviews]]&gt;$N$13,"Outlier"," Normal")</f>
        <v xml:space="preserve"> Normal</v>
      </c>
      <c r="G531">
        <v>13</v>
      </c>
      <c r="H531" t="str">
        <f>IF(Table2_2[[#This Row],[Price]]&gt;$N$20,"Outlier","Normal")</f>
        <v>Normal</v>
      </c>
      <c r="I531">
        <v>2019</v>
      </c>
      <c r="J531" t="str">
        <f>IF(Table2_2[[#This Row],[Year]]&gt;=2015,"Newer","Older")</f>
        <v>Newer</v>
      </c>
      <c r="K531" s="1" t="s">
        <v>11</v>
      </c>
    </row>
    <row r="532" spans="1:11" x14ac:dyDescent="0.35">
      <c r="A532" s="1" t="s">
        <v>584</v>
      </c>
      <c r="B532" s="1" t="s">
        <v>585</v>
      </c>
      <c r="C532">
        <v>4.4000000000000004</v>
      </c>
      <c r="D532" t="str">
        <f>IF(Table2_2[[#This Row],[User_Rating]]&lt;4.164816,"Outlier","Normal")</f>
        <v>Normal</v>
      </c>
      <c r="E532">
        <v>3341</v>
      </c>
      <c r="F532" t="str">
        <f>IF(Table2_2[[#This Row],[Reviews]]&gt;$N$13,"Outlier"," Normal")</f>
        <v xml:space="preserve"> Normal</v>
      </c>
      <c r="G532">
        <v>9</v>
      </c>
      <c r="H532" t="str">
        <f>IF(Table2_2[[#This Row],[Price]]&gt;$N$20,"Outlier","Normal")</f>
        <v>Normal</v>
      </c>
      <c r="I532">
        <v>2011</v>
      </c>
      <c r="J532" t="str">
        <f>IF(Table2_2[[#This Row],[Year]]&gt;=2015,"Newer","Older")</f>
        <v>Older</v>
      </c>
      <c r="K532" s="1" t="s">
        <v>8</v>
      </c>
    </row>
    <row r="533" spans="1:11" x14ac:dyDescent="0.35">
      <c r="A533" s="1" t="s">
        <v>586</v>
      </c>
      <c r="B533" s="1" t="s">
        <v>587</v>
      </c>
      <c r="C533">
        <v>4.4000000000000004</v>
      </c>
      <c r="D533" t="str">
        <f>IF(Table2_2[[#This Row],[User_Rating]]&lt;4.164816,"Outlier","Normal")</f>
        <v>Normal</v>
      </c>
      <c r="E533">
        <v>7497</v>
      </c>
      <c r="F533" t="str">
        <f>IF(Table2_2[[#This Row],[Reviews]]&gt;$N$13,"Outlier"," Normal")</f>
        <v xml:space="preserve"> Normal</v>
      </c>
      <c r="G533">
        <v>6</v>
      </c>
      <c r="H533" t="str">
        <f>IF(Table2_2[[#This Row],[Price]]&gt;$N$20,"Outlier","Normal")</f>
        <v>Normal</v>
      </c>
      <c r="I533">
        <v>2012</v>
      </c>
      <c r="J533" t="str">
        <f>IF(Table2_2[[#This Row],[Year]]&gt;=2015,"Newer","Older")</f>
        <v>Older</v>
      </c>
      <c r="K533" s="1" t="s">
        <v>8</v>
      </c>
    </row>
    <row r="534" spans="1:11" x14ac:dyDescent="0.35">
      <c r="A534" s="1" t="s">
        <v>586</v>
      </c>
      <c r="B534" s="1" t="s">
        <v>587</v>
      </c>
      <c r="C534">
        <v>4.4000000000000004</v>
      </c>
      <c r="D534" t="str">
        <f>IF(Table2_2[[#This Row],[User_Rating]]&lt;4.164816,"Outlier","Normal")</f>
        <v>Normal</v>
      </c>
      <c r="E534">
        <v>7497</v>
      </c>
      <c r="F534" t="str">
        <f>IF(Table2_2[[#This Row],[Reviews]]&gt;$N$13,"Outlier"," Normal")</f>
        <v xml:space="preserve"> Normal</v>
      </c>
      <c r="G534">
        <v>6</v>
      </c>
      <c r="H534" t="str">
        <f>IF(Table2_2[[#This Row],[Price]]&gt;$N$20,"Outlier","Normal")</f>
        <v>Normal</v>
      </c>
      <c r="I534">
        <v>2013</v>
      </c>
      <c r="J534" t="str">
        <f>IF(Table2_2[[#This Row],[Year]]&gt;=2015,"Newer","Older")</f>
        <v>Older</v>
      </c>
      <c r="K534" s="1" t="s">
        <v>8</v>
      </c>
    </row>
    <row r="535" spans="1:11" x14ac:dyDescent="0.35">
      <c r="A535" s="1" t="s">
        <v>588</v>
      </c>
      <c r="B535" s="1" t="s">
        <v>589</v>
      </c>
      <c r="C535">
        <v>4.8</v>
      </c>
      <c r="D535" t="str">
        <f>IF(Table2_2[[#This Row],[User_Rating]]&lt;4.164816,"Outlier","Normal")</f>
        <v>Normal</v>
      </c>
      <c r="E535">
        <v>13779</v>
      </c>
      <c r="F535" t="str">
        <f>IF(Table2_2[[#This Row],[Reviews]]&gt;$N$13,"Outlier"," Normal")</f>
        <v xml:space="preserve"> Normal</v>
      </c>
      <c r="G535">
        <v>14</v>
      </c>
      <c r="H535" t="str">
        <f>IF(Table2_2[[#This Row],[Price]]&gt;$N$20,"Outlier","Normal")</f>
        <v>Normal</v>
      </c>
      <c r="I535">
        <v>2016</v>
      </c>
      <c r="J535" t="str">
        <f>IF(Table2_2[[#This Row],[Year]]&gt;=2015,"Newer","Older")</f>
        <v>Newer</v>
      </c>
      <c r="K535" s="1" t="s">
        <v>8</v>
      </c>
    </row>
    <row r="536" spans="1:11" x14ac:dyDescent="0.35">
      <c r="A536" s="1" t="s">
        <v>590</v>
      </c>
      <c r="B536" s="1" t="s">
        <v>591</v>
      </c>
      <c r="C536">
        <v>4.8</v>
      </c>
      <c r="D536" t="str">
        <f>IF(Table2_2[[#This Row],[User_Rating]]&lt;4.164816,"Outlier","Normal")</f>
        <v>Normal</v>
      </c>
      <c r="E536">
        <v>87841</v>
      </c>
      <c r="F536" t="str">
        <f>IF(Table2_2[[#This Row],[Reviews]]&gt;$N$13,"Outlier"," Normal")</f>
        <v>Outlier</v>
      </c>
      <c r="G536">
        <v>15</v>
      </c>
      <c r="H536" t="str">
        <f>IF(Table2_2[[#This Row],[Price]]&gt;$N$20,"Outlier","Normal")</f>
        <v>Normal</v>
      </c>
      <c r="I536">
        <v>2019</v>
      </c>
      <c r="J536" t="str">
        <f>IF(Table2_2[[#This Row],[Year]]&gt;=2015,"Newer","Older")</f>
        <v>Newer</v>
      </c>
      <c r="K536" s="1" t="s">
        <v>11</v>
      </c>
    </row>
    <row r="537" spans="1:11" x14ac:dyDescent="0.35">
      <c r="A537" s="1" t="s">
        <v>592</v>
      </c>
      <c r="B537" s="1" t="s">
        <v>593</v>
      </c>
      <c r="C537">
        <v>4.8</v>
      </c>
      <c r="D537" t="str">
        <f>IF(Table2_2[[#This Row],[User_Rating]]&lt;4.164816,"Outlier","Normal")</f>
        <v>Normal</v>
      </c>
      <c r="E537">
        <v>9967</v>
      </c>
      <c r="F537" t="str">
        <f>IF(Table2_2[[#This Row],[Reviews]]&gt;$N$13,"Outlier"," Normal")</f>
        <v xml:space="preserve"> Normal</v>
      </c>
      <c r="G537">
        <v>13</v>
      </c>
      <c r="H537" t="str">
        <f>IF(Table2_2[[#This Row],[Price]]&gt;$N$20,"Outlier","Normal")</f>
        <v>Normal</v>
      </c>
      <c r="I537">
        <v>2009</v>
      </c>
      <c r="J537" t="str">
        <f>IF(Table2_2[[#This Row],[Year]]&gt;=2015,"Newer","Older")</f>
        <v>Older</v>
      </c>
      <c r="K537" s="1" t="s">
        <v>11</v>
      </c>
    </row>
    <row r="538" spans="1:11" x14ac:dyDescent="0.35">
      <c r="A538" s="1" t="s">
        <v>594</v>
      </c>
      <c r="B538" s="1" t="s">
        <v>595</v>
      </c>
      <c r="C538">
        <v>4.5999999999999996</v>
      </c>
      <c r="D538" t="str">
        <f>IF(Table2_2[[#This Row],[User_Rating]]&lt;4.164816,"Outlier","Normal")</f>
        <v>Normal</v>
      </c>
      <c r="E538">
        <v>6669</v>
      </c>
      <c r="F538" t="str">
        <f>IF(Table2_2[[#This Row],[Reviews]]&gt;$N$13,"Outlier"," Normal")</f>
        <v xml:space="preserve"> Normal</v>
      </c>
      <c r="G538">
        <v>12</v>
      </c>
      <c r="H538" t="str">
        <f>IF(Table2_2[[#This Row],[Price]]&gt;$N$20,"Outlier","Normal")</f>
        <v>Normal</v>
      </c>
      <c r="I538">
        <v>2018</v>
      </c>
      <c r="J538" t="str">
        <f>IF(Table2_2[[#This Row],[Year]]&gt;=2015,"Newer","Older")</f>
        <v>Newer</v>
      </c>
      <c r="K538" s="1" t="s">
        <v>8</v>
      </c>
    </row>
    <row r="539" spans="1:11" x14ac:dyDescent="0.35">
      <c r="A539" s="1" t="s">
        <v>596</v>
      </c>
      <c r="B539" s="1" t="s">
        <v>597</v>
      </c>
      <c r="C539">
        <v>4.4000000000000004</v>
      </c>
      <c r="D539" t="str">
        <f>IF(Table2_2[[#This Row],[User_Rating]]&lt;4.164816,"Outlier","Normal")</f>
        <v>Normal</v>
      </c>
      <c r="E539">
        <v>17044</v>
      </c>
      <c r="F539" t="str">
        <f>IF(Table2_2[[#This Row],[Reviews]]&gt;$N$13,"Outlier"," Normal")</f>
        <v xml:space="preserve"> Normal</v>
      </c>
      <c r="G539">
        <v>18</v>
      </c>
      <c r="H539" t="str">
        <f>IF(Table2_2[[#This Row],[Price]]&gt;$N$20,"Outlier","Normal")</f>
        <v>Normal</v>
      </c>
      <c r="I539">
        <v>2012</v>
      </c>
      <c r="J539" t="str">
        <f>IF(Table2_2[[#This Row],[Year]]&gt;=2015,"Newer","Older")</f>
        <v>Older</v>
      </c>
      <c r="K539" s="1" t="s">
        <v>8</v>
      </c>
    </row>
    <row r="540" spans="1:11" x14ac:dyDescent="0.35">
      <c r="A540" s="1" t="s">
        <v>598</v>
      </c>
      <c r="B540" s="1" t="s">
        <v>599</v>
      </c>
      <c r="C540">
        <v>4.5</v>
      </c>
      <c r="D540" t="str">
        <f>IF(Table2_2[[#This Row],[User_Rating]]&lt;4.164816,"Outlier","Normal")</f>
        <v>Normal</v>
      </c>
      <c r="E540">
        <v>10760</v>
      </c>
      <c r="F540" t="str">
        <f>IF(Table2_2[[#This Row],[Reviews]]&gt;$N$13,"Outlier"," Normal")</f>
        <v xml:space="preserve"> Normal</v>
      </c>
      <c r="G540">
        <v>15</v>
      </c>
      <c r="H540" t="str">
        <f>IF(Table2_2[[#This Row],[Price]]&gt;$N$20,"Outlier","Normal")</f>
        <v>Normal</v>
      </c>
      <c r="I540">
        <v>2012</v>
      </c>
      <c r="J540" t="str">
        <f>IF(Table2_2[[#This Row],[Year]]&gt;=2015,"Newer","Older")</f>
        <v>Older</v>
      </c>
      <c r="K540" s="1" t="s">
        <v>11</v>
      </c>
    </row>
    <row r="541" spans="1:11" x14ac:dyDescent="0.35">
      <c r="A541" s="1" t="s">
        <v>600</v>
      </c>
      <c r="B541" s="1" t="s">
        <v>601</v>
      </c>
      <c r="C541">
        <v>4.2</v>
      </c>
      <c r="D541" t="str">
        <f>IF(Table2_2[[#This Row],[User_Rating]]&lt;4.164816,"Outlier","Normal")</f>
        <v>Normal</v>
      </c>
      <c r="E541">
        <v>1302</v>
      </c>
      <c r="F541" t="str">
        <f>IF(Table2_2[[#This Row],[Reviews]]&gt;$N$13,"Outlier"," Normal")</f>
        <v xml:space="preserve"> Normal</v>
      </c>
      <c r="G541">
        <v>11</v>
      </c>
      <c r="H541" t="str">
        <f>IF(Table2_2[[#This Row],[Price]]&gt;$N$20,"Outlier","Normal")</f>
        <v>Normal</v>
      </c>
      <c r="I541">
        <v>2010</v>
      </c>
      <c r="J541" t="str">
        <f>IF(Table2_2[[#This Row],[Year]]&gt;=2015,"Newer","Older")</f>
        <v>Older</v>
      </c>
      <c r="K541" s="1" t="s">
        <v>8</v>
      </c>
    </row>
    <row r="542" spans="1:11" x14ac:dyDescent="0.35">
      <c r="A542" s="1" t="s">
        <v>602</v>
      </c>
      <c r="B542" s="1" t="s">
        <v>603</v>
      </c>
      <c r="C542">
        <v>4.8</v>
      </c>
      <c r="D542" t="str">
        <f>IF(Table2_2[[#This Row],[User_Rating]]&lt;4.164816,"Outlier","Normal")</f>
        <v>Normal</v>
      </c>
      <c r="E542">
        <v>21625</v>
      </c>
      <c r="F542" t="str">
        <f>IF(Table2_2[[#This Row],[Reviews]]&gt;$N$13,"Outlier"," Normal")</f>
        <v xml:space="preserve"> Normal</v>
      </c>
      <c r="G542">
        <v>9</v>
      </c>
      <c r="H542" t="str">
        <f>IF(Table2_2[[#This Row],[Price]]&gt;$N$20,"Outlier","Normal")</f>
        <v>Normal</v>
      </c>
      <c r="I542">
        <v>2013</v>
      </c>
      <c r="J542" t="str">
        <f>IF(Table2_2[[#This Row],[Year]]&gt;=2015,"Newer","Older")</f>
        <v>Older</v>
      </c>
      <c r="K542" s="1" t="s">
        <v>11</v>
      </c>
    </row>
    <row r="543" spans="1:11" x14ac:dyDescent="0.35">
      <c r="A543" s="1" t="s">
        <v>602</v>
      </c>
      <c r="B543" s="1" t="s">
        <v>603</v>
      </c>
      <c r="C543">
        <v>4.8</v>
      </c>
      <c r="D543" t="str">
        <f>IF(Table2_2[[#This Row],[User_Rating]]&lt;4.164816,"Outlier","Normal")</f>
        <v>Normal</v>
      </c>
      <c r="E543">
        <v>21625</v>
      </c>
      <c r="F543" t="str">
        <f>IF(Table2_2[[#This Row],[Reviews]]&gt;$N$13,"Outlier"," Normal")</f>
        <v xml:space="preserve"> Normal</v>
      </c>
      <c r="G543">
        <v>9</v>
      </c>
      <c r="H543" t="str">
        <f>IF(Table2_2[[#This Row],[Price]]&gt;$N$20,"Outlier","Normal")</f>
        <v>Normal</v>
      </c>
      <c r="I543">
        <v>2014</v>
      </c>
      <c r="J543" t="str">
        <f>IF(Table2_2[[#This Row],[Year]]&gt;=2015,"Newer","Older")</f>
        <v>Older</v>
      </c>
      <c r="K543" s="1" t="s">
        <v>11</v>
      </c>
    </row>
    <row r="544" spans="1:11" x14ac:dyDescent="0.35">
      <c r="A544" s="1" t="s">
        <v>602</v>
      </c>
      <c r="B544" s="1" t="s">
        <v>603</v>
      </c>
      <c r="C544">
        <v>4.8</v>
      </c>
      <c r="D544" t="str">
        <f>IF(Table2_2[[#This Row],[User_Rating]]&lt;4.164816,"Outlier","Normal")</f>
        <v>Normal</v>
      </c>
      <c r="E544">
        <v>21625</v>
      </c>
      <c r="F544" t="str">
        <f>IF(Table2_2[[#This Row],[Reviews]]&gt;$N$13,"Outlier"," Normal")</f>
        <v xml:space="preserve"> Normal</v>
      </c>
      <c r="G544">
        <v>9</v>
      </c>
      <c r="H544" t="str">
        <f>IF(Table2_2[[#This Row],[Price]]&gt;$N$20,"Outlier","Normal")</f>
        <v>Normal</v>
      </c>
      <c r="I544">
        <v>2015</v>
      </c>
      <c r="J544" t="str">
        <f>IF(Table2_2[[#This Row],[Year]]&gt;=2015,"Newer","Older")</f>
        <v>Newer</v>
      </c>
      <c r="K544" s="1" t="s">
        <v>11</v>
      </c>
    </row>
    <row r="545" spans="1:11" x14ac:dyDescent="0.35">
      <c r="A545" s="1" t="s">
        <v>602</v>
      </c>
      <c r="B545" s="1" t="s">
        <v>603</v>
      </c>
      <c r="C545">
        <v>4.8</v>
      </c>
      <c r="D545" t="str">
        <f>IF(Table2_2[[#This Row],[User_Rating]]&lt;4.164816,"Outlier","Normal")</f>
        <v>Normal</v>
      </c>
      <c r="E545">
        <v>21625</v>
      </c>
      <c r="F545" t="str">
        <f>IF(Table2_2[[#This Row],[Reviews]]&gt;$N$13,"Outlier"," Normal")</f>
        <v xml:space="preserve"> Normal</v>
      </c>
      <c r="G545">
        <v>9</v>
      </c>
      <c r="H545" t="str">
        <f>IF(Table2_2[[#This Row],[Price]]&gt;$N$20,"Outlier","Normal")</f>
        <v>Normal</v>
      </c>
      <c r="I545">
        <v>2016</v>
      </c>
      <c r="J545" t="str">
        <f>IF(Table2_2[[#This Row],[Year]]&gt;=2015,"Newer","Older")</f>
        <v>Newer</v>
      </c>
      <c r="K545" s="1" t="s">
        <v>11</v>
      </c>
    </row>
    <row r="546" spans="1:11" x14ac:dyDescent="0.35">
      <c r="A546" s="1" t="s">
        <v>602</v>
      </c>
      <c r="B546" s="1" t="s">
        <v>603</v>
      </c>
      <c r="C546">
        <v>4.8</v>
      </c>
      <c r="D546" t="str">
        <f>IF(Table2_2[[#This Row],[User_Rating]]&lt;4.164816,"Outlier","Normal")</f>
        <v>Normal</v>
      </c>
      <c r="E546">
        <v>21625</v>
      </c>
      <c r="F546" t="str">
        <f>IF(Table2_2[[#This Row],[Reviews]]&gt;$N$13,"Outlier"," Normal")</f>
        <v xml:space="preserve"> Normal</v>
      </c>
      <c r="G546">
        <v>9</v>
      </c>
      <c r="H546" t="str">
        <f>IF(Table2_2[[#This Row],[Price]]&gt;$N$20,"Outlier","Normal")</f>
        <v>Normal</v>
      </c>
      <c r="I546">
        <v>2017</v>
      </c>
      <c r="J546" t="str">
        <f>IF(Table2_2[[#This Row],[Year]]&gt;=2015,"Newer","Older")</f>
        <v>Newer</v>
      </c>
      <c r="K546" s="1" t="s">
        <v>11</v>
      </c>
    </row>
    <row r="547" spans="1:11" x14ac:dyDescent="0.35">
      <c r="A547" s="1" t="s">
        <v>604</v>
      </c>
      <c r="B547" s="1" t="s">
        <v>79</v>
      </c>
      <c r="C547">
        <v>4.9000000000000004</v>
      </c>
      <c r="D547" t="str">
        <f>IF(Table2_2[[#This Row],[User_Rating]]&lt;4.164816,"Outlier","Normal")</f>
        <v>Normal</v>
      </c>
      <c r="E547">
        <v>9413</v>
      </c>
      <c r="F547" t="str">
        <f>IF(Table2_2[[#This Row],[Reviews]]&gt;$N$13,"Outlier"," Normal")</f>
        <v xml:space="preserve"> Normal</v>
      </c>
      <c r="G547">
        <v>8</v>
      </c>
      <c r="H547" t="str">
        <f>IF(Table2_2[[#This Row],[Price]]&gt;$N$20,"Outlier","Normal")</f>
        <v>Normal</v>
      </c>
      <c r="I547">
        <v>2019</v>
      </c>
      <c r="J547" t="str">
        <f>IF(Table2_2[[#This Row],[Year]]&gt;=2015,"Newer","Older")</f>
        <v>Newer</v>
      </c>
      <c r="K547" s="1" t="s">
        <v>11</v>
      </c>
    </row>
    <row r="548" spans="1:11" x14ac:dyDescent="0.35">
      <c r="A548" s="1" t="s">
        <v>605</v>
      </c>
      <c r="B548" s="1" t="s">
        <v>606</v>
      </c>
      <c r="C548">
        <v>4.7</v>
      </c>
      <c r="D548" t="str">
        <f>IF(Table2_2[[#This Row],[User_Rating]]&lt;4.164816,"Outlier","Normal")</f>
        <v>Normal</v>
      </c>
      <c r="E548">
        <v>14331</v>
      </c>
      <c r="F548" t="str">
        <f>IF(Table2_2[[#This Row],[Reviews]]&gt;$N$13,"Outlier"," Normal")</f>
        <v xml:space="preserve"> Normal</v>
      </c>
      <c r="G548">
        <v>8</v>
      </c>
      <c r="H548" t="str">
        <f>IF(Table2_2[[#This Row],[Price]]&gt;$N$20,"Outlier","Normal")</f>
        <v>Normal</v>
      </c>
      <c r="I548">
        <v>2016</v>
      </c>
      <c r="J548" t="str">
        <f>IF(Table2_2[[#This Row],[Year]]&gt;=2015,"Newer","Older")</f>
        <v>Newer</v>
      </c>
      <c r="K548" s="1" t="s">
        <v>8</v>
      </c>
    </row>
    <row r="549" spans="1:11" x14ac:dyDescent="0.35">
      <c r="A549" s="1" t="s">
        <v>605</v>
      </c>
      <c r="B549" s="1" t="s">
        <v>606</v>
      </c>
      <c r="C549">
        <v>4.7</v>
      </c>
      <c r="D549" t="str">
        <f>IF(Table2_2[[#This Row],[User_Rating]]&lt;4.164816,"Outlier","Normal")</f>
        <v>Normal</v>
      </c>
      <c r="E549">
        <v>14331</v>
      </c>
      <c r="F549" t="str">
        <f>IF(Table2_2[[#This Row],[Reviews]]&gt;$N$13,"Outlier"," Normal")</f>
        <v xml:space="preserve"> Normal</v>
      </c>
      <c r="G549">
        <v>8</v>
      </c>
      <c r="H549" t="str">
        <f>IF(Table2_2[[#This Row],[Price]]&gt;$N$20,"Outlier","Normal")</f>
        <v>Normal</v>
      </c>
      <c r="I549">
        <v>2017</v>
      </c>
      <c r="J549" t="str">
        <f>IF(Table2_2[[#This Row],[Year]]&gt;=2015,"Newer","Older")</f>
        <v>Newer</v>
      </c>
      <c r="K549" s="1" t="s">
        <v>8</v>
      </c>
    </row>
    <row r="550" spans="1:11" x14ac:dyDescent="0.35">
      <c r="A550" s="1" t="s">
        <v>605</v>
      </c>
      <c r="B550" s="1" t="s">
        <v>606</v>
      </c>
      <c r="C550">
        <v>4.7</v>
      </c>
      <c r="D550" t="str">
        <f>IF(Table2_2[[#This Row],[User_Rating]]&lt;4.164816,"Outlier","Normal")</f>
        <v>Normal</v>
      </c>
      <c r="E550">
        <v>14331</v>
      </c>
      <c r="F550" t="str">
        <f>IF(Table2_2[[#This Row],[Reviews]]&gt;$N$13,"Outlier"," Normal")</f>
        <v xml:space="preserve"> Normal</v>
      </c>
      <c r="G550">
        <v>8</v>
      </c>
      <c r="H550" t="str">
        <f>IF(Table2_2[[#This Row],[Price]]&gt;$N$20,"Outlier","Normal")</f>
        <v>Normal</v>
      </c>
      <c r="I550">
        <v>2018</v>
      </c>
      <c r="J550" t="str">
        <f>IF(Table2_2[[#This Row],[Year]]&gt;=2015,"Newer","Older")</f>
        <v>Newer</v>
      </c>
      <c r="K550" s="1" t="s">
        <v>8</v>
      </c>
    </row>
    <row r="551" spans="1:11" x14ac:dyDescent="0.35">
      <c r="A551" s="1" t="s">
        <v>605</v>
      </c>
      <c r="B551" s="1" t="s">
        <v>606</v>
      </c>
      <c r="C551">
        <v>4.7</v>
      </c>
      <c r="D551" t="str">
        <f>IF(Table2_2[[#This Row],[User_Rating]]&lt;4.164816,"Outlier","Normal")</f>
        <v>Normal</v>
      </c>
      <c r="E551">
        <v>14331</v>
      </c>
      <c r="F551" t="str">
        <f>IF(Table2_2[[#This Row],[Reviews]]&gt;$N$13,"Outlier"," Normal")</f>
        <v xml:space="preserve"> Normal</v>
      </c>
      <c r="G551">
        <v>8</v>
      </c>
      <c r="H551" t="str">
        <f>IF(Table2_2[[#This Row],[Price]]&gt;$N$20,"Outlier","Normal")</f>
        <v>Normal</v>
      </c>
      <c r="I551">
        <v>2019</v>
      </c>
      <c r="J551" t="str">
        <f>IF(Table2_2[[#This Row],[Year]]&gt;=2015,"Newer","Older")</f>
        <v>Newer</v>
      </c>
      <c r="K551" s="1" t="s">
        <v>8</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P74"/>
  <sheetViews>
    <sheetView topLeftCell="E5" workbookViewId="0">
      <selection activeCell="C50" sqref="C49:C58"/>
    </sheetView>
  </sheetViews>
  <sheetFormatPr defaultRowHeight="14.5" x14ac:dyDescent="0.35"/>
  <cols>
    <col min="1" max="1" width="13.90625" bestFit="1" customWidth="1"/>
    <col min="2" max="3" width="20.453125" bestFit="1" customWidth="1"/>
    <col min="4" max="4" width="14.36328125" bestFit="1" customWidth="1"/>
    <col min="5" max="6" width="12" bestFit="1" customWidth="1"/>
    <col min="8" max="8" width="73" bestFit="1" customWidth="1"/>
    <col min="9" max="9" width="13.90625" bestFit="1" customWidth="1"/>
    <col min="10" max="10" width="11.1796875" bestFit="1" customWidth="1"/>
    <col min="11" max="11" width="11.26953125" bestFit="1" customWidth="1"/>
    <col min="12" max="12" width="11" bestFit="1" customWidth="1"/>
    <col min="13" max="13" width="15.81640625" bestFit="1" customWidth="1"/>
    <col min="14" max="14" width="14" bestFit="1" customWidth="1"/>
    <col min="15" max="15" width="12.453125" bestFit="1" customWidth="1"/>
    <col min="16" max="16" width="13" bestFit="1" customWidth="1"/>
    <col min="17" max="17" width="18.54296875" bestFit="1" customWidth="1"/>
    <col min="18" max="18" width="15.7265625" bestFit="1" customWidth="1"/>
    <col min="19" max="19" width="11.26953125" bestFit="1" customWidth="1"/>
  </cols>
  <sheetData>
    <row r="2" spans="1:9" ht="21" x14ac:dyDescent="0.5">
      <c r="D2" s="19" t="s">
        <v>650</v>
      </c>
      <c r="E2" s="20"/>
      <c r="F2" s="20"/>
      <c r="G2" s="20"/>
      <c r="H2" s="20"/>
    </row>
    <row r="3" spans="1:9" x14ac:dyDescent="0.35">
      <c r="H3" s="2"/>
    </row>
    <row r="4" spans="1:9" x14ac:dyDescent="0.35">
      <c r="A4" t="s">
        <v>655</v>
      </c>
      <c r="H4" t="s">
        <v>623</v>
      </c>
    </row>
    <row r="5" spans="1:9" x14ac:dyDescent="0.35">
      <c r="A5" s="3" t="s">
        <v>621</v>
      </c>
      <c r="B5" t="s">
        <v>626</v>
      </c>
      <c r="C5" t="s">
        <v>620</v>
      </c>
      <c r="D5" t="s">
        <v>628</v>
      </c>
      <c r="H5" t="s">
        <v>620</v>
      </c>
    </row>
    <row r="6" spans="1:9" x14ac:dyDescent="0.35">
      <c r="A6" s="4" t="s">
        <v>427</v>
      </c>
      <c r="B6" s="1"/>
      <c r="C6" s="1"/>
      <c r="D6" s="1"/>
      <c r="E6" s="1"/>
      <c r="F6" s="1"/>
      <c r="H6" s="1">
        <v>4.6183636363636413</v>
      </c>
      <c r="I6">
        <f>GETPIVOTDATA("[Measures].[Average of User_Rating]",$H$5)</f>
        <v>4.6183636363636413</v>
      </c>
    </row>
    <row r="7" spans="1:9" x14ac:dyDescent="0.35">
      <c r="A7" s="14" t="s">
        <v>11</v>
      </c>
      <c r="B7" s="1"/>
      <c r="C7" s="1"/>
      <c r="D7" s="1"/>
      <c r="E7" s="1"/>
      <c r="F7" s="1"/>
    </row>
    <row r="8" spans="1:9" x14ac:dyDescent="0.35">
      <c r="A8" s="15" t="s">
        <v>288</v>
      </c>
      <c r="B8" s="1">
        <v>201928</v>
      </c>
      <c r="C8" s="1">
        <v>4.7</v>
      </c>
      <c r="D8" s="1">
        <v>11.5</v>
      </c>
      <c r="E8" s="1"/>
      <c r="F8" s="1"/>
    </row>
    <row r="9" spans="1:9" x14ac:dyDescent="0.35">
      <c r="A9" s="4" t="s">
        <v>622</v>
      </c>
      <c r="B9" s="1">
        <v>201928</v>
      </c>
      <c r="C9" s="1">
        <v>4.7</v>
      </c>
      <c r="D9" s="1">
        <v>11.5</v>
      </c>
      <c r="E9" s="1"/>
      <c r="F9" s="1"/>
      <c r="H9" t="s">
        <v>624</v>
      </c>
    </row>
    <row r="10" spans="1:9" x14ac:dyDescent="0.35">
      <c r="E10" s="1"/>
      <c r="F10" s="1"/>
      <c r="H10" s="3" t="s">
        <v>621</v>
      </c>
      <c r="I10" t="s">
        <v>620</v>
      </c>
    </row>
    <row r="11" spans="1:9" x14ac:dyDescent="0.35">
      <c r="E11" s="1"/>
      <c r="F11" s="1"/>
      <c r="H11" s="4" t="s">
        <v>130</v>
      </c>
      <c r="I11" s="1">
        <v>4.9000000000000004</v>
      </c>
    </row>
    <row r="12" spans="1:9" x14ac:dyDescent="0.35">
      <c r="E12" s="1"/>
      <c r="F12" s="1"/>
      <c r="H12" s="4" t="s">
        <v>129</v>
      </c>
      <c r="I12" s="1">
        <v>4.9000000000000004</v>
      </c>
    </row>
    <row r="13" spans="1:9" x14ac:dyDescent="0.35">
      <c r="E13" s="1"/>
      <c r="F13" s="1"/>
      <c r="H13" s="4" t="s">
        <v>128</v>
      </c>
      <c r="I13" s="1">
        <v>4.9000000000000004</v>
      </c>
    </row>
    <row r="14" spans="1:9" x14ac:dyDescent="0.35">
      <c r="E14" s="1"/>
      <c r="F14" s="1"/>
      <c r="H14" s="4" t="s">
        <v>126</v>
      </c>
      <c r="I14" s="1">
        <v>4.9000000000000004</v>
      </c>
    </row>
    <row r="15" spans="1:9" x14ac:dyDescent="0.35">
      <c r="E15" s="1"/>
      <c r="F15" s="1"/>
      <c r="H15" s="4" t="s">
        <v>76</v>
      </c>
      <c r="I15" s="1">
        <v>4.9000000000000004</v>
      </c>
    </row>
    <row r="16" spans="1:9" x14ac:dyDescent="0.35">
      <c r="A16" t="s">
        <v>623</v>
      </c>
      <c r="E16" s="1"/>
      <c r="F16" s="1"/>
      <c r="H16" s="4" t="s">
        <v>622</v>
      </c>
      <c r="I16" s="1">
        <v>4.8999999999999995</v>
      </c>
    </row>
    <row r="17" spans="1:9" x14ac:dyDescent="0.35">
      <c r="A17" t="s">
        <v>626</v>
      </c>
      <c r="E17" s="1"/>
      <c r="F17" s="1"/>
    </row>
    <row r="18" spans="1:9" x14ac:dyDescent="0.35">
      <c r="A18" s="1">
        <v>6574305</v>
      </c>
      <c r="B18">
        <f>GETPIVOTDATA("[Measures].[Sum of Reviews]",$A$17)</f>
        <v>6574305</v>
      </c>
      <c r="E18" s="1"/>
      <c r="F18" s="1"/>
    </row>
    <row r="19" spans="1:9" x14ac:dyDescent="0.35">
      <c r="E19" s="1"/>
      <c r="F19" s="1"/>
    </row>
    <row r="20" spans="1:9" x14ac:dyDescent="0.35">
      <c r="E20" s="1"/>
      <c r="F20" s="1"/>
      <c r="H20" s="3" t="s">
        <v>621</v>
      </c>
      <c r="I20" t="s">
        <v>620</v>
      </c>
    </row>
    <row r="21" spans="1:9" x14ac:dyDescent="0.35">
      <c r="E21" s="1"/>
      <c r="F21" s="1"/>
      <c r="H21" s="4" t="s">
        <v>443</v>
      </c>
      <c r="I21" s="1">
        <v>3.9</v>
      </c>
    </row>
    <row r="22" spans="1:9" x14ac:dyDescent="0.35">
      <c r="E22" s="1"/>
      <c r="F22" s="1"/>
      <c r="H22" s="4" t="s">
        <v>46</v>
      </c>
      <c r="I22" s="1">
        <v>3.9</v>
      </c>
    </row>
    <row r="23" spans="1:9" x14ac:dyDescent="0.35">
      <c r="E23" s="1"/>
      <c r="F23" s="1"/>
      <c r="H23" s="4" t="s">
        <v>158</v>
      </c>
      <c r="I23" s="1">
        <v>3.8</v>
      </c>
    </row>
    <row r="24" spans="1:9" x14ac:dyDescent="0.35">
      <c r="A24" s="3" t="s">
        <v>621</v>
      </c>
      <c r="B24" t="s">
        <v>620</v>
      </c>
      <c r="E24" s="1"/>
      <c r="F24" s="1"/>
      <c r="H24" s="4" t="s">
        <v>182</v>
      </c>
      <c r="I24" s="1">
        <v>3.6</v>
      </c>
    </row>
    <row r="25" spans="1:9" x14ac:dyDescent="0.35">
      <c r="A25" s="4" t="s">
        <v>284</v>
      </c>
      <c r="B25" s="1">
        <v>4.9000000000000004</v>
      </c>
      <c r="E25" s="1"/>
      <c r="F25" s="1"/>
      <c r="H25" s="4" t="s">
        <v>411</v>
      </c>
      <c r="I25" s="1">
        <v>3.3</v>
      </c>
    </row>
    <row r="26" spans="1:9" x14ac:dyDescent="0.35">
      <c r="A26" s="4" t="s">
        <v>77</v>
      </c>
      <c r="B26" s="1">
        <v>4.9000000000000004</v>
      </c>
      <c r="E26" s="1"/>
      <c r="F26" s="1"/>
      <c r="H26" s="4" t="s">
        <v>622</v>
      </c>
      <c r="I26" s="1">
        <v>3.7428571428571424</v>
      </c>
    </row>
    <row r="27" spans="1:9" x14ac:dyDescent="0.35">
      <c r="A27" s="4" t="s">
        <v>481</v>
      </c>
      <c r="B27" s="1">
        <v>4.9000000000000004</v>
      </c>
      <c r="E27" s="1"/>
      <c r="F27" s="1"/>
    </row>
    <row r="28" spans="1:9" x14ac:dyDescent="0.35">
      <c r="A28" s="4" t="s">
        <v>539</v>
      </c>
      <c r="B28" s="1">
        <v>4.9000000000000004</v>
      </c>
      <c r="E28" s="1"/>
      <c r="F28" s="1"/>
      <c r="H28" s="4" t="s">
        <v>625</v>
      </c>
    </row>
    <row r="29" spans="1:9" x14ac:dyDescent="0.35">
      <c r="A29" s="4" t="s">
        <v>269</v>
      </c>
      <c r="B29" s="1">
        <v>4.9000000000000004</v>
      </c>
      <c r="E29" s="1"/>
      <c r="F29" s="1"/>
      <c r="H29" s="3" t="s">
        <v>621</v>
      </c>
      <c r="I29" t="s">
        <v>620</v>
      </c>
    </row>
    <row r="30" spans="1:9" x14ac:dyDescent="0.35">
      <c r="A30" s="4" t="s">
        <v>204</v>
      </c>
      <c r="B30" s="1">
        <v>4.9000000000000004</v>
      </c>
      <c r="E30" s="1"/>
      <c r="F30" s="1"/>
      <c r="H30" s="4" t="s">
        <v>11</v>
      </c>
      <c r="I30" s="1">
        <v>4.6483333333333263</v>
      </c>
    </row>
    <row r="31" spans="1:9" x14ac:dyDescent="0.35">
      <c r="A31" s="4" t="s">
        <v>368</v>
      </c>
      <c r="B31" s="1">
        <v>4.9000000000000004</v>
      </c>
      <c r="E31" s="1"/>
      <c r="F31" s="1"/>
      <c r="H31" s="4" t="s">
        <v>8</v>
      </c>
      <c r="I31" s="1">
        <v>4.5951612903225794</v>
      </c>
    </row>
    <row r="32" spans="1:9" x14ac:dyDescent="0.35">
      <c r="A32" s="4" t="s">
        <v>470</v>
      </c>
      <c r="B32" s="1">
        <v>4.9000000000000004</v>
      </c>
      <c r="E32" s="1"/>
      <c r="F32" s="1"/>
      <c r="H32" s="4" t="s">
        <v>622</v>
      </c>
      <c r="I32" s="1">
        <v>4.6183636363636413</v>
      </c>
    </row>
    <row r="33" spans="1:9" x14ac:dyDescent="0.35">
      <c r="A33" s="4" t="s">
        <v>316</v>
      </c>
      <c r="B33" s="1">
        <v>4.9000000000000004</v>
      </c>
      <c r="E33" s="1"/>
      <c r="F33" s="1"/>
    </row>
    <row r="34" spans="1:9" x14ac:dyDescent="0.35">
      <c r="A34" s="4" t="s">
        <v>349</v>
      </c>
      <c r="B34" s="1">
        <v>4.9000000000000004</v>
      </c>
      <c r="E34" s="1"/>
      <c r="F34" s="1"/>
      <c r="H34" s="4" t="s">
        <v>627</v>
      </c>
    </row>
    <row r="35" spans="1:9" x14ac:dyDescent="0.35">
      <c r="A35" s="4" t="s">
        <v>622</v>
      </c>
      <c r="B35" s="1">
        <v>4.9000000000000004</v>
      </c>
      <c r="E35" s="1"/>
      <c r="F35" s="1"/>
      <c r="H35" s="3" t="s">
        <v>621</v>
      </c>
      <c r="I35" t="s">
        <v>626</v>
      </c>
    </row>
    <row r="36" spans="1:9" x14ac:dyDescent="0.35">
      <c r="E36" s="1"/>
      <c r="F36" s="1"/>
      <c r="H36" s="4" t="s">
        <v>188</v>
      </c>
      <c r="I36" s="1">
        <v>171813</v>
      </c>
    </row>
    <row r="37" spans="1:9" x14ac:dyDescent="0.35">
      <c r="H37" s="4" t="s">
        <v>434</v>
      </c>
      <c r="I37" s="1">
        <v>158892</v>
      </c>
    </row>
    <row r="38" spans="1:9" x14ac:dyDescent="0.35">
      <c r="H38" s="4" t="s">
        <v>158</v>
      </c>
      <c r="I38" s="1">
        <v>94530</v>
      </c>
    </row>
    <row r="39" spans="1:9" x14ac:dyDescent="0.35">
      <c r="H39" s="4" t="s">
        <v>443</v>
      </c>
      <c r="I39" s="1">
        <v>67688</v>
      </c>
    </row>
    <row r="40" spans="1:9" x14ac:dyDescent="0.35">
      <c r="H40" s="4" t="s">
        <v>369</v>
      </c>
      <c r="I40" s="1">
        <v>45621</v>
      </c>
    </row>
    <row r="41" spans="1:9" x14ac:dyDescent="0.35">
      <c r="H41" s="4" t="s">
        <v>208</v>
      </c>
      <c r="I41" s="1">
        <v>23973</v>
      </c>
    </row>
    <row r="42" spans="1:9" x14ac:dyDescent="0.35">
      <c r="H42" s="4" t="s">
        <v>182</v>
      </c>
      <c r="I42" s="1">
        <v>14982</v>
      </c>
    </row>
    <row r="43" spans="1:9" x14ac:dyDescent="0.35">
      <c r="H43" s="4" t="s">
        <v>411</v>
      </c>
      <c r="I43" s="1">
        <v>9372</v>
      </c>
    </row>
    <row r="44" spans="1:9" x14ac:dyDescent="0.35">
      <c r="H44" s="4" t="s">
        <v>46</v>
      </c>
      <c r="I44" s="1">
        <v>6310</v>
      </c>
    </row>
    <row r="45" spans="1:9" x14ac:dyDescent="0.35">
      <c r="H45" s="4" t="s">
        <v>425</v>
      </c>
      <c r="I45" s="1">
        <v>1859</v>
      </c>
    </row>
    <row r="46" spans="1:9" x14ac:dyDescent="0.35">
      <c r="H46" s="4" t="s">
        <v>622</v>
      </c>
      <c r="I46" s="1">
        <v>595040</v>
      </c>
    </row>
    <row r="47" spans="1:9" x14ac:dyDescent="0.35">
      <c r="C47" t="s">
        <v>659</v>
      </c>
    </row>
    <row r="48" spans="1:9" x14ac:dyDescent="0.35">
      <c r="C48" s="3" t="s">
        <v>621</v>
      </c>
      <c r="D48" t="s">
        <v>620</v>
      </c>
    </row>
    <row r="49" spans="3:16" x14ac:dyDescent="0.35">
      <c r="C49" s="4" t="s">
        <v>470</v>
      </c>
      <c r="D49" s="1">
        <v>4.9000000000000004</v>
      </c>
      <c r="H49" s="5"/>
      <c r="I49" s="6"/>
      <c r="J49" s="7"/>
    </row>
    <row r="50" spans="3:16" x14ac:dyDescent="0.35">
      <c r="C50" s="4" t="s">
        <v>204</v>
      </c>
      <c r="D50" s="1">
        <v>4.9000000000000004</v>
      </c>
      <c r="H50" s="8"/>
      <c r="I50" s="9"/>
      <c r="J50" s="10"/>
    </row>
    <row r="51" spans="3:16" x14ac:dyDescent="0.35">
      <c r="C51" s="4" t="s">
        <v>349</v>
      </c>
      <c r="D51" s="1">
        <v>4.9000000000000004</v>
      </c>
      <c r="H51" s="8"/>
      <c r="I51" s="9"/>
      <c r="J51" s="10"/>
    </row>
    <row r="52" spans="3:16" x14ac:dyDescent="0.35">
      <c r="C52" s="4" t="s">
        <v>77</v>
      </c>
      <c r="D52" s="1">
        <v>4.9000000000000004</v>
      </c>
      <c r="H52" s="8"/>
      <c r="I52" s="9"/>
      <c r="J52" s="10"/>
    </row>
    <row r="53" spans="3:16" x14ac:dyDescent="0.35">
      <c r="C53" s="4" t="s">
        <v>368</v>
      </c>
      <c r="D53" s="1">
        <v>4.9000000000000004</v>
      </c>
      <c r="H53" s="8"/>
      <c r="I53" s="9"/>
      <c r="J53" s="10"/>
    </row>
    <row r="54" spans="3:16" x14ac:dyDescent="0.35">
      <c r="C54" s="4" t="s">
        <v>481</v>
      </c>
      <c r="D54" s="1">
        <v>4.9000000000000004</v>
      </c>
      <c r="H54" s="8"/>
      <c r="I54" s="9"/>
      <c r="J54" s="10"/>
    </row>
    <row r="55" spans="3:16" x14ac:dyDescent="0.35">
      <c r="C55" s="4" t="s">
        <v>316</v>
      </c>
      <c r="D55" s="1">
        <v>4.9000000000000004</v>
      </c>
      <c r="H55" s="8"/>
      <c r="I55" s="9"/>
      <c r="J55" s="10"/>
    </row>
    <row r="56" spans="3:16" x14ac:dyDescent="0.35">
      <c r="C56" s="4" t="s">
        <v>539</v>
      </c>
      <c r="D56" s="1">
        <v>4.9000000000000004</v>
      </c>
      <c r="H56" s="8"/>
      <c r="I56" s="9"/>
      <c r="J56" s="10"/>
    </row>
    <row r="57" spans="3:16" x14ac:dyDescent="0.35">
      <c r="C57" s="4" t="s">
        <v>284</v>
      </c>
      <c r="D57" s="1">
        <v>4.9000000000000004</v>
      </c>
      <c r="H57" s="8"/>
      <c r="I57" s="9"/>
      <c r="J57" s="10"/>
      <c r="N57" s="5"/>
      <c r="O57" s="6"/>
      <c r="P57" s="7"/>
    </row>
    <row r="58" spans="3:16" x14ac:dyDescent="0.35">
      <c r="C58" s="4" t="s">
        <v>269</v>
      </c>
      <c r="D58" s="1">
        <v>4.9000000000000004</v>
      </c>
      <c r="H58" s="8"/>
      <c r="I58" s="9"/>
      <c r="J58" s="10"/>
      <c r="N58" s="8"/>
      <c r="O58" s="9"/>
      <c r="P58" s="10"/>
    </row>
    <row r="59" spans="3:16" x14ac:dyDescent="0.35">
      <c r="C59" s="4" t="s">
        <v>622</v>
      </c>
      <c r="D59" s="1">
        <v>4.9000000000000004</v>
      </c>
      <c r="H59" s="8"/>
      <c r="I59" s="9"/>
      <c r="J59" s="10"/>
      <c r="N59" s="8"/>
      <c r="O59" s="9"/>
      <c r="P59" s="10"/>
    </row>
    <row r="60" spans="3:16" x14ac:dyDescent="0.35">
      <c r="H60" s="8"/>
      <c r="I60" s="9"/>
      <c r="J60" s="10"/>
      <c r="N60" s="8"/>
      <c r="O60" s="9"/>
      <c r="P60" s="10"/>
    </row>
    <row r="61" spans="3:16" x14ac:dyDescent="0.35">
      <c r="H61" s="8"/>
      <c r="I61" s="9"/>
      <c r="J61" s="10"/>
      <c r="N61" s="8"/>
      <c r="O61" s="9"/>
      <c r="P61" s="10"/>
    </row>
    <row r="62" spans="3:16" x14ac:dyDescent="0.35">
      <c r="H62" s="8"/>
      <c r="I62" s="9"/>
      <c r="J62" s="10"/>
      <c r="N62" s="8"/>
      <c r="O62" s="9"/>
      <c r="P62" s="10"/>
    </row>
    <row r="63" spans="3:16" x14ac:dyDescent="0.35">
      <c r="H63" s="8"/>
      <c r="I63" s="9"/>
      <c r="J63" s="10"/>
      <c r="N63" s="8"/>
      <c r="O63" s="9"/>
      <c r="P63" s="10"/>
    </row>
    <row r="64" spans="3:16" x14ac:dyDescent="0.35">
      <c r="H64" s="8"/>
      <c r="I64" s="9"/>
      <c r="J64" s="10"/>
      <c r="N64" s="8"/>
      <c r="O64" s="9"/>
      <c r="P64" s="10"/>
    </row>
    <row r="65" spans="8:16" x14ac:dyDescent="0.35">
      <c r="H65" s="8"/>
      <c r="I65" s="9"/>
      <c r="J65" s="10"/>
      <c r="N65" s="8"/>
      <c r="O65" s="9"/>
      <c r="P65" s="10"/>
    </row>
    <row r="66" spans="8:16" x14ac:dyDescent="0.35">
      <c r="H66" s="11"/>
      <c r="I66" s="12"/>
      <c r="J66" s="13"/>
      <c r="N66" s="8"/>
      <c r="O66" s="9"/>
      <c r="P66" s="10"/>
    </row>
    <row r="67" spans="8:16" x14ac:dyDescent="0.35">
      <c r="N67" s="8"/>
      <c r="O67" s="9"/>
      <c r="P67" s="10"/>
    </row>
    <row r="68" spans="8:16" x14ac:dyDescent="0.35">
      <c r="N68" s="8"/>
      <c r="O68" s="9"/>
      <c r="P68" s="10"/>
    </row>
    <row r="69" spans="8:16" x14ac:dyDescent="0.35">
      <c r="N69" s="8"/>
      <c r="O69" s="9"/>
      <c r="P69" s="10"/>
    </row>
    <row r="70" spans="8:16" x14ac:dyDescent="0.35">
      <c r="N70" s="8"/>
      <c r="O70" s="9"/>
      <c r="P70" s="10"/>
    </row>
    <row r="71" spans="8:16" x14ac:dyDescent="0.35">
      <c r="N71" s="8"/>
      <c r="O71" s="9"/>
      <c r="P71" s="10"/>
    </row>
    <row r="72" spans="8:16" x14ac:dyDescent="0.35">
      <c r="N72" s="8"/>
      <c r="O72" s="9"/>
      <c r="P72" s="10"/>
    </row>
    <row r="73" spans="8:16" x14ac:dyDescent="0.35">
      <c r="N73" s="8"/>
      <c r="O73" s="9"/>
      <c r="P73" s="10"/>
    </row>
    <row r="74" spans="8:16" x14ac:dyDescent="0.35">
      <c r="N74" s="11"/>
      <c r="O74" s="12"/>
      <c r="P74" s="13"/>
    </row>
  </sheetData>
  <mergeCells count="1">
    <mergeCell ref="D2:H2"/>
  </mergeCells>
  <pageMargins left="0.7" right="0.7" top="0.75" bottom="0.75" header="0.3" footer="0.3"/>
  <pageSetup paperSize="9" orientation="portrait"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E1C2-CAD9-4F2F-A93A-3A0468CE6344}">
  <dimension ref="A2:K30"/>
  <sheetViews>
    <sheetView topLeftCell="A3" workbookViewId="0">
      <selection activeCell="J15" sqref="J15"/>
    </sheetView>
  </sheetViews>
  <sheetFormatPr defaultRowHeight="14.5" x14ac:dyDescent="0.35"/>
  <cols>
    <col min="1" max="1" width="13.1796875" bestFit="1" customWidth="1"/>
    <col min="2" max="2" width="15.54296875" bestFit="1" customWidth="1"/>
    <col min="3" max="3" width="18.54296875" bestFit="1" customWidth="1"/>
    <col min="10" max="10" width="13.1796875" bestFit="1" customWidth="1"/>
    <col min="11" max="11" width="15.54296875" bestFit="1" customWidth="1"/>
  </cols>
  <sheetData>
    <row r="2" spans="1:11" ht="23.5" x14ac:dyDescent="0.55000000000000004">
      <c r="D2" s="21" t="s">
        <v>657</v>
      </c>
      <c r="E2" s="20"/>
      <c r="F2" s="20"/>
      <c r="G2" s="20"/>
      <c r="H2" s="20"/>
      <c r="I2" s="20"/>
      <c r="J2" s="20"/>
    </row>
    <row r="4" spans="1:11" x14ac:dyDescent="0.35">
      <c r="J4" t="s">
        <v>630</v>
      </c>
    </row>
    <row r="5" spans="1:11" x14ac:dyDescent="0.35">
      <c r="A5" s="3" t="s">
        <v>621</v>
      </c>
      <c r="B5" t="s">
        <v>628</v>
      </c>
      <c r="J5" s="3" t="s">
        <v>621</v>
      </c>
      <c r="K5" t="s">
        <v>628</v>
      </c>
    </row>
    <row r="6" spans="1:11" x14ac:dyDescent="0.35">
      <c r="A6" s="4">
        <v>3.3</v>
      </c>
      <c r="B6" s="1">
        <v>12</v>
      </c>
      <c r="J6" s="4" t="s">
        <v>11</v>
      </c>
      <c r="K6" s="1">
        <v>10.85</v>
      </c>
    </row>
    <row r="7" spans="1:11" x14ac:dyDescent="0.35">
      <c r="A7" s="4">
        <v>3.6</v>
      </c>
      <c r="B7" s="1">
        <v>19</v>
      </c>
      <c r="J7" s="4" t="s">
        <v>8</v>
      </c>
      <c r="K7" s="1">
        <v>14.841935483870968</v>
      </c>
    </row>
    <row r="8" spans="1:11" x14ac:dyDescent="0.35">
      <c r="A8" s="4">
        <v>3.8</v>
      </c>
      <c r="B8" s="1">
        <v>14</v>
      </c>
      <c r="J8" s="4" t="s">
        <v>622</v>
      </c>
      <c r="K8" s="1">
        <v>13.1</v>
      </c>
    </row>
    <row r="9" spans="1:11" x14ac:dyDescent="0.35">
      <c r="A9" s="4">
        <v>3.9</v>
      </c>
      <c r="B9" s="1">
        <v>17.666666666666668</v>
      </c>
    </row>
    <row r="10" spans="1:11" x14ac:dyDescent="0.35">
      <c r="A10" s="4">
        <v>4</v>
      </c>
      <c r="B10" s="1">
        <v>14.642857142857142</v>
      </c>
    </row>
    <row r="11" spans="1:11" x14ac:dyDescent="0.35">
      <c r="A11" s="4">
        <v>4.0999999999999996</v>
      </c>
      <c r="B11" s="1">
        <v>11.666666666666666</v>
      </c>
      <c r="J11" s="4" t="s">
        <v>631</v>
      </c>
    </row>
    <row r="12" spans="1:11" x14ac:dyDescent="0.35">
      <c r="A12" s="4">
        <v>4.2</v>
      </c>
      <c r="B12" s="1">
        <v>11.625</v>
      </c>
      <c r="J12" s="3" t="s">
        <v>621</v>
      </c>
      <c r="K12" t="s">
        <v>629</v>
      </c>
    </row>
    <row r="13" spans="1:11" x14ac:dyDescent="0.35">
      <c r="A13" s="4">
        <v>4.3</v>
      </c>
      <c r="B13" s="1">
        <v>13.28</v>
      </c>
      <c r="J13" s="4" t="s">
        <v>338</v>
      </c>
      <c r="K13" s="1">
        <v>460</v>
      </c>
    </row>
    <row r="14" spans="1:11" x14ac:dyDescent="0.35">
      <c r="A14" s="4">
        <v>4.4000000000000004</v>
      </c>
      <c r="B14" s="1">
        <v>14.447368421052632</v>
      </c>
      <c r="J14" s="4" t="s">
        <v>113</v>
      </c>
      <c r="K14" s="1">
        <v>210</v>
      </c>
    </row>
    <row r="15" spans="1:11" x14ac:dyDescent="0.35">
      <c r="A15" s="4">
        <v>4.5</v>
      </c>
      <c r="B15" s="1">
        <v>20.933333333333334</v>
      </c>
      <c r="J15" s="4" t="s">
        <v>492</v>
      </c>
      <c r="K15" s="1">
        <v>200</v>
      </c>
    </row>
    <row r="16" spans="1:11" x14ac:dyDescent="0.35">
      <c r="A16" s="4">
        <v>4.5999999999999996</v>
      </c>
      <c r="B16" s="1">
        <v>12.095238095238095</v>
      </c>
      <c r="J16" s="4" t="s">
        <v>383</v>
      </c>
      <c r="K16" s="1">
        <v>180</v>
      </c>
    </row>
    <row r="17" spans="1:11" x14ac:dyDescent="0.35">
      <c r="A17" s="4">
        <v>4.7</v>
      </c>
      <c r="B17" s="1">
        <v>12.99074074074074</v>
      </c>
      <c r="J17" s="4" t="s">
        <v>369</v>
      </c>
      <c r="K17" s="1">
        <v>153</v>
      </c>
    </row>
    <row r="18" spans="1:11" x14ac:dyDescent="0.35">
      <c r="A18" s="4">
        <v>4.8</v>
      </c>
      <c r="B18" s="1">
        <v>10.866141732283465</v>
      </c>
      <c r="J18" s="4" t="s">
        <v>622</v>
      </c>
      <c r="K18" s="1">
        <v>1203</v>
      </c>
    </row>
    <row r="19" spans="1:11" x14ac:dyDescent="0.35">
      <c r="A19" s="4">
        <v>4.9000000000000004</v>
      </c>
      <c r="B19" s="1">
        <v>10.288461538461538</v>
      </c>
    </row>
    <row r="20" spans="1:11" x14ac:dyDescent="0.35">
      <c r="A20" s="4" t="s">
        <v>622</v>
      </c>
      <c r="B20" s="1">
        <v>13.1</v>
      </c>
    </row>
    <row r="21" spans="1:11" x14ac:dyDescent="0.35">
      <c r="J21" s="3" t="s">
        <v>621</v>
      </c>
      <c r="K21" t="s">
        <v>629</v>
      </c>
    </row>
    <row r="22" spans="1:11" x14ac:dyDescent="0.35">
      <c r="J22" s="4" t="s">
        <v>78</v>
      </c>
      <c r="K22" s="1">
        <v>0</v>
      </c>
    </row>
    <row r="23" spans="1:11" x14ac:dyDescent="0.35">
      <c r="J23" s="4" t="s">
        <v>115</v>
      </c>
      <c r="K23" s="1">
        <v>0</v>
      </c>
    </row>
    <row r="24" spans="1:11" x14ac:dyDescent="0.35">
      <c r="J24" s="4" t="s">
        <v>166</v>
      </c>
      <c r="K24" s="1">
        <v>0</v>
      </c>
    </row>
    <row r="25" spans="1:11" x14ac:dyDescent="0.35">
      <c r="J25" s="4" t="s">
        <v>253</v>
      </c>
      <c r="K25" s="1">
        <v>0</v>
      </c>
    </row>
    <row r="26" spans="1:11" x14ac:dyDescent="0.35">
      <c r="J26" s="4" t="s">
        <v>283</v>
      </c>
      <c r="K26" s="1">
        <v>0</v>
      </c>
    </row>
    <row r="27" spans="1:11" x14ac:dyDescent="0.35">
      <c r="J27" s="4" t="s">
        <v>417</v>
      </c>
      <c r="K27" s="1">
        <v>0</v>
      </c>
    </row>
    <row r="28" spans="1:11" x14ac:dyDescent="0.35">
      <c r="J28" s="4" t="s">
        <v>433</v>
      </c>
      <c r="K28" s="1">
        <v>0</v>
      </c>
    </row>
    <row r="29" spans="1:11" x14ac:dyDescent="0.35">
      <c r="J29" s="4" t="s">
        <v>516</v>
      </c>
      <c r="K29" s="1">
        <v>0</v>
      </c>
    </row>
    <row r="30" spans="1:11" x14ac:dyDescent="0.35">
      <c r="J30" s="4" t="s">
        <v>622</v>
      </c>
      <c r="K30" s="1">
        <v>0</v>
      </c>
    </row>
  </sheetData>
  <mergeCells count="1">
    <mergeCell ref="D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1804D-04FA-48C7-9707-13602E5C16E6}">
  <dimension ref="A1:P546"/>
  <sheetViews>
    <sheetView topLeftCell="A6" workbookViewId="0">
      <selection activeCell="N28" sqref="N28"/>
    </sheetView>
  </sheetViews>
  <sheetFormatPr defaultRowHeight="14.5" x14ac:dyDescent="0.35"/>
  <cols>
    <col min="2" max="2" width="14.54296875" customWidth="1"/>
    <col min="3" max="3" width="10.54296875" customWidth="1"/>
    <col min="8" max="8" width="8" customWidth="1"/>
    <col min="9" max="12" width="9.1796875" hidden="1" customWidth="1"/>
    <col min="13" max="13" width="25.7265625" customWidth="1"/>
    <col min="14" max="14" width="26.26953125" customWidth="1"/>
    <col min="15" max="15" width="31" customWidth="1"/>
    <col min="16" max="16" width="21.54296875" customWidth="1"/>
  </cols>
  <sheetData>
    <row r="1" spans="1:16" x14ac:dyDescent="0.35">
      <c r="A1" t="s">
        <v>3</v>
      </c>
      <c r="B1" t="s">
        <v>607</v>
      </c>
      <c r="C1" t="s">
        <v>2</v>
      </c>
    </row>
    <row r="2" spans="1:16" x14ac:dyDescent="0.35">
      <c r="A2">
        <v>8</v>
      </c>
      <c r="B2">
        <v>4.7</v>
      </c>
      <c r="C2">
        <v>17350</v>
      </c>
    </row>
    <row r="3" spans="1:16" x14ac:dyDescent="0.35">
      <c r="A3">
        <v>22</v>
      </c>
      <c r="B3">
        <v>4.5999999999999996</v>
      </c>
      <c r="C3">
        <v>2052</v>
      </c>
    </row>
    <row r="4" spans="1:16" x14ac:dyDescent="0.35">
      <c r="A4">
        <v>15</v>
      </c>
      <c r="B4">
        <v>4.7</v>
      </c>
      <c r="C4">
        <v>18979</v>
      </c>
    </row>
    <row r="5" spans="1:16" x14ac:dyDescent="0.35">
      <c r="A5">
        <v>6</v>
      </c>
      <c r="B5">
        <v>4.7</v>
      </c>
      <c r="C5">
        <v>21424</v>
      </c>
    </row>
    <row r="6" spans="1:16" x14ac:dyDescent="0.35">
      <c r="A6">
        <v>15</v>
      </c>
      <c r="B6">
        <v>4.7</v>
      </c>
      <c r="C6">
        <v>19699</v>
      </c>
    </row>
    <row r="7" spans="1:16" x14ac:dyDescent="0.35">
      <c r="A7">
        <v>3</v>
      </c>
      <c r="B7">
        <v>4.7</v>
      </c>
      <c r="C7">
        <v>5983</v>
      </c>
    </row>
    <row r="8" spans="1:16" x14ac:dyDescent="0.35">
      <c r="A8">
        <v>8</v>
      </c>
      <c r="B8">
        <v>4.5999999999999996</v>
      </c>
      <c r="C8">
        <v>23848</v>
      </c>
    </row>
    <row r="9" spans="1:16" x14ac:dyDescent="0.35">
      <c r="A9">
        <v>8</v>
      </c>
      <c r="B9">
        <v>4.5999999999999996</v>
      </c>
      <c r="C9">
        <v>23848</v>
      </c>
    </row>
    <row r="10" spans="1:16" ht="15" thickBot="1" x14ac:dyDescent="0.4">
      <c r="A10">
        <v>2</v>
      </c>
      <c r="B10">
        <v>4.5999999999999996</v>
      </c>
      <c r="C10">
        <v>460</v>
      </c>
    </row>
    <row r="11" spans="1:16" x14ac:dyDescent="0.35">
      <c r="A11">
        <v>32</v>
      </c>
      <c r="B11">
        <v>4.5999999999999996</v>
      </c>
      <c r="C11">
        <v>4149</v>
      </c>
      <c r="M11" s="18"/>
      <c r="N11" s="18" t="s">
        <v>3</v>
      </c>
      <c r="O11" s="18" t="s">
        <v>607</v>
      </c>
      <c r="P11" s="18" t="s">
        <v>2</v>
      </c>
    </row>
    <row r="12" spans="1:16" x14ac:dyDescent="0.35">
      <c r="A12">
        <v>5</v>
      </c>
      <c r="B12">
        <v>4.5</v>
      </c>
      <c r="C12">
        <v>5153</v>
      </c>
      <c r="M12" s="16" t="s">
        <v>3</v>
      </c>
      <c r="N12" s="16">
        <v>1</v>
      </c>
      <c r="O12" s="16"/>
      <c r="P12" s="16"/>
    </row>
    <row r="13" spans="1:16" x14ac:dyDescent="0.35">
      <c r="A13">
        <v>17</v>
      </c>
      <c r="B13">
        <v>4.5999999999999996</v>
      </c>
      <c r="C13">
        <v>5013</v>
      </c>
      <c r="M13" s="16" t="s">
        <v>607</v>
      </c>
      <c r="N13" s="16">
        <v>-0.13481251320769444</v>
      </c>
      <c r="O13" s="16">
        <v>1</v>
      </c>
      <c r="P13" s="16"/>
    </row>
    <row r="14" spans="1:16" ht="15" thickBot="1" x14ac:dyDescent="0.4">
      <c r="A14">
        <v>4</v>
      </c>
      <c r="B14">
        <v>4.5</v>
      </c>
      <c r="C14">
        <v>2313</v>
      </c>
      <c r="M14" s="17" t="s">
        <v>2</v>
      </c>
      <c r="N14" s="17">
        <v>-0.11142399546593623</v>
      </c>
      <c r="O14" s="17">
        <v>-1.53113470955278E-3</v>
      </c>
      <c r="P14" s="17">
        <v>1</v>
      </c>
    </row>
    <row r="15" spans="1:16" x14ac:dyDescent="0.35">
      <c r="A15">
        <v>6</v>
      </c>
      <c r="B15">
        <v>4.5999999999999996</v>
      </c>
      <c r="C15">
        <v>2925</v>
      </c>
    </row>
    <row r="16" spans="1:16" x14ac:dyDescent="0.35">
      <c r="A16">
        <v>6</v>
      </c>
      <c r="B16">
        <v>4.4000000000000004</v>
      </c>
      <c r="C16">
        <v>2951</v>
      </c>
    </row>
    <row r="17" spans="1:14" x14ac:dyDescent="0.35">
      <c r="A17">
        <v>8</v>
      </c>
      <c r="B17">
        <v>4.5</v>
      </c>
      <c r="C17">
        <v>2426</v>
      </c>
    </row>
    <row r="18" spans="1:14" x14ac:dyDescent="0.35">
      <c r="A18">
        <v>13</v>
      </c>
      <c r="B18">
        <v>4.8</v>
      </c>
      <c r="C18">
        <v>9198</v>
      </c>
      <c r="M18" s="2" t="s">
        <v>639</v>
      </c>
      <c r="N18">
        <f xml:space="preserve"> -0.134812513</f>
        <v>-0.13481251299999999</v>
      </c>
    </row>
    <row r="19" spans="1:14" x14ac:dyDescent="0.35">
      <c r="A19">
        <v>14</v>
      </c>
      <c r="B19">
        <v>4.5999999999999996</v>
      </c>
      <c r="C19">
        <v>36348</v>
      </c>
      <c r="M19" t="s">
        <v>640</v>
      </c>
    </row>
    <row r="20" spans="1:14" x14ac:dyDescent="0.35">
      <c r="A20">
        <v>14</v>
      </c>
      <c r="B20">
        <v>4.5999999999999996</v>
      </c>
      <c r="C20">
        <v>36348</v>
      </c>
      <c r="M20" t="s">
        <v>643</v>
      </c>
    </row>
    <row r="21" spans="1:14" x14ac:dyDescent="0.35">
      <c r="A21">
        <v>13</v>
      </c>
      <c r="B21">
        <v>4.3</v>
      </c>
      <c r="C21">
        <v>12159</v>
      </c>
    </row>
    <row r="22" spans="1:14" x14ac:dyDescent="0.35">
      <c r="A22">
        <v>5</v>
      </c>
      <c r="B22">
        <v>4.5999999999999996</v>
      </c>
      <c r="C22">
        <v>798</v>
      </c>
    </row>
    <row r="23" spans="1:14" x14ac:dyDescent="0.35">
      <c r="A23">
        <v>9</v>
      </c>
      <c r="B23">
        <v>4.7</v>
      </c>
      <c r="C23">
        <v>9374</v>
      </c>
      <c r="M23" s="2" t="s">
        <v>641</v>
      </c>
      <c r="N23">
        <v>-0.111423995</v>
      </c>
    </row>
    <row r="24" spans="1:14" x14ac:dyDescent="0.35">
      <c r="A24">
        <v>14</v>
      </c>
      <c r="B24">
        <v>4.2</v>
      </c>
      <c r="C24">
        <v>491</v>
      </c>
      <c r="M24" t="s">
        <v>642</v>
      </c>
    </row>
    <row r="25" spans="1:14" x14ac:dyDescent="0.35">
      <c r="A25">
        <v>5</v>
      </c>
      <c r="B25">
        <v>4.5999999999999996</v>
      </c>
      <c r="C25">
        <v>5360</v>
      </c>
      <c r="M25" t="s">
        <v>644</v>
      </c>
    </row>
    <row r="26" spans="1:14" x14ac:dyDescent="0.35">
      <c r="A26">
        <v>11</v>
      </c>
      <c r="B26">
        <v>4.5999999999999996</v>
      </c>
      <c r="C26">
        <v>1909</v>
      </c>
    </row>
    <row r="27" spans="1:14" x14ac:dyDescent="0.35">
      <c r="A27">
        <v>24</v>
      </c>
      <c r="B27">
        <v>4.8</v>
      </c>
      <c r="C27">
        <v>1296</v>
      </c>
    </row>
    <row r="28" spans="1:14" x14ac:dyDescent="0.35">
      <c r="A28">
        <v>21</v>
      </c>
      <c r="B28">
        <v>4.7</v>
      </c>
      <c r="C28">
        <v>615</v>
      </c>
      <c r="M28" s="2" t="s">
        <v>645</v>
      </c>
    </row>
    <row r="29" spans="1:14" x14ac:dyDescent="0.35">
      <c r="A29">
        <v>11</v>
      </c>
      <c r="B29">
        <v>4.8</v>
      </c>
      <c r="C29">
        <v>61133</v>
      </c>
      <c r="M29" t="s">
        <v>646</v>
      </c>
    </row>
    <row r="30" spans="1:14" x14ac:dyDescent="0.35">
      <c r="A30">
        <v>11</v>
      </c>
      <c r="B30">
        <v>4.8</v>
      </c>
      <c r="C30">
        <v>61133</v>
      </c>
      <c r="M30" t="s">
        <v>647</v>
      </c>
    </row>
    <row r="31" spans="1:14" x14ac:dyDescent="0.35">
      <c r="A31">
        <v>15</v>
      </c>
      <c r="B31">
        <v>4.8</v>
      </c>
      <c r="C31">
        <v>11113</v>
      </c>
    </row>
    <row r="32" spans="1:14" x14ac:dyDescent="0.35">
      <c r="A32">
        <v>13</v>
      </c>
      <c r="B32">
        <v>4.7</v>
      </c>
      <c r="C32">
        <v>10070</v>
      </c>
    </row>
    <row r="33" spans="1:3" x14ac:dyDescent="0.35">
      <c r="A33">
        <v>13</v>
      </c>
      <c r="B33">
        <v>4.7</v>
      </c>
      <c r="C33">
        <v>10070</v>
      </c>
    </row>
    <row r="34" spans="1:3" x14ac:dyDescent="0.35">
      <c r="A34">
        <v>18</v>
      </c>
      <c r="B34">
        <v>4.7</v>
      </c>
      <c r="C34">
        <v>3729</v>
      </c>
    </row>
    <row r="35" spans="1:3" x14ac:dyDescent="0.35">
      <c r="A35">
        <v>13</v>
      </c>
      <c r="B35">
        <v>4.5999999999999996</v>
      </c>
      <c r="C35">
        <v>9769</v>
      </c>
    </row>
    <row r="36" spans="1:3" x14ac:dyDescent="0.35">
      <c r="A36">
        <v>8</v>
      </c>
      <c r="B36">
        <v>4.5</v>
      </c>
      <c r="C36">
        <v>471</v>
      </c>
    </row>
    <row r="37" spans="1:3" x14ac:dyDescent="0.35">
      <c r="A37">
        <v>5</v>
      </c>
      <c r="B37">
        <v>4.9000000000000004</v>
      </c>
      <c r="C37">
        <v>14344</v>
      </c>
    </row>
    <row r="38" spans="1:3" x14ac:dyDescent="0.35">
      <c r="A38">
        <v>5</v>
      </c>
      <c r="B38">
        <v>4.9000000000000004</v>
      </c>
      <c r="C38">
        <v>14344</v>
      </c>
    </row>
    <row r="39" spans="1:3" x14ac:dyDescent="0.35">
      <c r="A39">
        <v>0</v>
      </c>
      <c r="B39">
        <v>4.8</v>
      </c>
      <c r="C39">
        <v>4505</v>
      </c>
    </row>
    <row r="40" spans="1:3" x14ac:dyDescent="0.35">
      <c r="A40">
        <v>4</v>
      </c>
      <c r="B40">
        <v>4.5999999999999996</v>
      </c>
      <c r="C40">
        <v>10369</v>
      </c>
    </row>
    <row r="41" spans="1:3" x14ac:dyDescent="0.35">
      <c r="A41">
        <v>18</v>
      </c>
      <c r="B41">
        <v>4.8</v>
      </c>
      <c r="C41">
        <v>16244</v>
      </c>
    </row>
    <row r="42" spans="1:3" x14ac:dyDescent="0.35">
      <c r="A42">
        <v>28</v>
      </c>
      <c r="B42">
        <v>4.5</v>
      </c>
      <c r="C42">
        <v>2884</v>
      </c>
    </row>
    <row r="43" spans="1:3" x14ac:dyDescent="0.35">
      <c r="A43">
        <v>11</v>
      </c>
      <c r="B43">
        <v>4.7</v>
      </c>
      <c r="C43">
        <v>22614</v>
      </c>
    </row>
    <row r="44" spans="1:3" x14ac:dyDescent="0.35">
      <c r="A44">
        <v>11</v>
      </c>
      <c r="B44">
        <v>4.7</v>
      </c>
      <c r="C44">
        <v>22614</v>
      </c>
    </row>
    <row r="45" spans="1:3" x14ac:dyDescent="0.35">
      <c r="A45">
        <v>11</v>
      </c>
      <c r="B45">
        <v>4.7</v>
      </c>
      <c r="C45">
        <v>22614</v>
      </c>
    </row>
    <row r="46" spans="1:3" x14ac:dyDescent="0.35">
      <c r="A46">
        <v>16</v>
      </c>
      <c r="B46">
        <v>4.7</v>
      </c>
      <c r="C46">
        <v>4761</v>
      </c>
    </row>
    <row r="47" spans="1:3" x14ac:dyDescent="0.35">
      <c r="A47">
        <v>14</v>
      </c>
      <c r="B47">
        <v>4.7</v>
      </c>
      <c r="C47">
        <v>1542</v>
      </c>
    </row>
    <row r="48" spans="1:3" x14ac:dyDescent="0.35">
      <c r="A48">
        <v>14</v>
      </c>
      <c r="B48">
        <v>4.7</v>
      </c>
      <c r="C48">
        <v>1542</v>
      </c>
    </row>
    <row r="49" spans="1:3" x14ac:dyDescent="0.35">
      <c r="A49">
        <v>14</v>
      </c>
      <c r="B49">
        <v>4.7</v>
      </c>
      <c r="C49">
        <v>1542</v>
      </c>
    </row>
    <row r="50" spans="1:3" x14ac:dyDescent="0.35">
      <c r="A50">
        <v>8</v>
      </c>
      <c r="B50">
        <v>4.3</v>
      </c>
      <c r="C50">
        <v>6143</v>
      </c>
    </row>
    <row r="51" spans="1:3" x14ac:dyDescent="0.35">
      <c r="A51">
        <v>4</v>
      </c>
      <c r="B51">
        <v>4.8</v>
      </c>
      <c r="C51">
        <v>4022</v>
      </c>
    </row>
    <row r="52" spans="1:3" x14ac:dyDescent="0.35">
      <c r="A52">
        <v>5</v>
      </c>
      <c r="B52">
        <v>4.8</v>
      </c>
      <c r="C52">
        <v>3871</v>
      </c>
    </row>
    <row r="53" spans="1:3" x14ac:dyDescent="0.35">
      <c r="A53">
        <v>11</v>
      </c>
      <c r="B53">
        <v>4.5999999999999996</v>
      </c>
      <c r="C53">
        <v>4866</v>
      </c>
    </row>
    <row r="54" spans="1:3" x14ac:dyDescent="0.35">
      <c r="A54">
        <v>11</v>
      </c>
      <c r="B54">
        <v>4.5999999999999996</v>
      </c>
      <c r="C54">
        <v>4866</v>
      </c>
    </row>
    <row r="55" spans="1:3" x14ac:dyDescent="0.35">
      <c r="A55">
        <v>10</v>
      </c>
      <c r="B55">
        <v>4.8</v>
      </c>
      <c r="C55">
        <v>1329</v>
      </c>
    </row>
    <row r="56" spans="1:3" x14ac:dyDescent="0.35">
      <c r="A56">
        <v>13</v>
      </c>
      <c r="B56">
        <v>4.4000000000000004</v>
      </c>
      <c r="C56">
        <v>4642</v>
      </c>
    </row>
    <row r="57" spans="1:3" x14ac:dyDescent="0.35">
      <c r="A57">
        <v>4</v>
      </c>
      <c r="B57">
        <v>4.5999999999999996</v>
      </c>
      <c r="C57">
        <v>1541</v>
      </c>
    </row>
    <row r="58" spans="1:3" x14ac:dyDescent="0.35">
      <c r="A58">
        <v>8</v>
      </c>
      <c r="B58">
        <v>4.3</v>
      </c>
      <c r="C58">
        <v>1924</v>
      </c>
    </row>
    <row r="59" spans="1:3" x14ac:dyDescent="0.35">
      <c r="A59">
        <v>4</v>
      </c>
      <c r="B59">
        <v>4.2</v>
      </c>
      <c r="C59">
        <v>2094</v>
      </c>
    </row>
    <row r="60" spans="1:3" x14ac:dyDescent="0.35">
      <c r="A60">
        <v>5</v>
      </c>
      <c r="B60">
        <v>4.8</v>
      </c>
      <c r="C60">
        <v>10922</v>
      </c>
    </row>
    <row r="61" spans="1:3" x14ac:dyDescent="0.35">
      <c r="A61">
        <v>5</v>
      </c>
      <c r="B61">
        <v>4.8</v>
      </c>
      <c r="C61">
        <v>10922</v>
      </c>
    </row>
    <row r="62" spans="1:3" x14ac:dyDescent="0.35">
      <c r="A62">
        <v>5</v>
      </c>
      <c r="B62">
        <v>4.8</v>
      </c>
      <c r="C62">
        <v>10922</v>
      </c>
    </row>
    <row r="63" spans="1:3" x14ac:dyDescent="0.35">
      <c r="A63">
        <v>5</v>
      </c>
      <c r="B63">
        <v>4.8</v>
      </c>
      <c r="C63">
        <v>10922</v>
      </c>
    </row>
    <row r="64" spans="1:3" x14ac:dyDescent="0.35">
      <c r="A64">
        <v>17</v>
      </c>
      <c r="B64">
        <v>4.5999999999999996</v>
      </c>
      <c r="C64">
        <v>2137</v>
      </c>
    </row>
    <row r="65" spans="1:3" x14ac:dyDescent="0.35">
      <c r="A65">
        <v>15</v>
      </c>
      <c r="B65">
        <v>4.5999999999999996</v>
      </c>
      <c r="C65">
        <v>1651</v>
      </c>
    </row>
    <row r="66" spans="1:3" x14ac:dyDescent="0.35">
      <c r="A66">
        <v>105</v>
      </c>
      <c r="B66">
        <v>4.5</v>
      </c>
      <c r="C66">
        <v>6679</v>
      </c>
    </row>
    <row r="67" spans="1:3" x14ac:dyDescent="0.35">
      <c r="A67">
        <v>105</v>
      </c>
      <c r="B67">
        <v>4.5</v>
      </c>
      <c r="C67">
        <v>6679</v>
      </c>
    </row>
    <row r="68" spans="1:3" x14ac:dyDescent="0.35">
      <c r="A68">
        <v>0</v>
      </c>
      <c r="B68">
        <v>4.8</v>
      </c>
      <c r="C68">
        <v>6812</v>
      </c>
    </row>
    <row r="69" spans="1:3" x14ac:dyDescent="0.35">
      <c r="A69">
        <v>15</v>
      </c>
      <c r="B69">
        <v>4.8</v>
      </c>
      <c r="C69">
        <v>3837</v>
      </c>
    </row>
    <row r="70" spans="1:3" x14ac:dyDescent="0.35">
      <c r="A70">
        <v>22</v>
      </c>
      <c r="B70">
        <v>4.8</v>
      </c>
      <c r="C70">
        <v>6540</v>
      </c>
    </row>
    <row r="71" spans="1:3" x14ac:dyDescent="0.35">
      <c r="A71">
        <v>5</v>
      </c>
      <c r="B71">
        <v>4.5999999999999996</v>
      </c>
      <c r="C71">
        <v>7955</v>
      </c>
    </row>
    <row r="72" spans="1:3" x14ac:dyDescent="0.35">
      <c r="A72">
        <v>15</v>
      </c>
      <c r="B72">
        <v>4.5999999999999996</v>
      </c>
      <c r="C72">
        <v>27098</v>
      </c>
    </row>
    <row r="73" spans="1:3" x14ac:dyDescent="0.35">
      <c r="A73">
        <v>15</v>
      </c>
      <c r="B73">
        <v>4.5999999999999996</v>
      </c>
      <c r="C73">
        <v>27098</v>
      </c>
    </row>
    <row r="74" spans="1:3" x14ac:dyDescent="0.35">
      <c r="A74">
        <v>6</v>
      </c>
      <c r="B74">
        <v>4.5</v>
      </c>
      <c r="C74">
        <v>17684</v>
      </c>
    </row>
    <row r="75" spans="1:3" x14ac:dyDescent="0.35">
      <c r="A75">
        <v>6</v>
      </c>
      <c r="B75">
        <v>4.5999999999999996</v>
      </c>
      <c r="C75">
        <v>37</v>
      </c>
    </row>
    <row r="76" spans="1:3" x14ac:dyDescent="0.35">
      <c r="A76">
        <v>13</v>
      </c>
      <c r="B76">
        <v>4.7</v>
      </c>
      <c r="C76">
        <v>15845</v>
      </c>
    </row>
    <row r="77" spans="1:3" x14ac:dyDescent="0.35">
      <c r="A77">
        <v>12</v>
      </c>
      <c r="B77">
        <v>4.8</v>
      </c>
      <c r="C77">
        <v>3181</v>
      </c>
    </row>
    <row r="78" spans="1:3" x14ac:dyDescent="0.35">
      <c r="A78">
        <v>6</v>
      </c>
      <c r="B78">
        <v>4.9000000000000004</v>
      </c>
      <c r="C78">
        <v>5062</v>
      </c>
    </row>
    <row r="79" spans="1:3" x14ac:dyDescent="0.35">
      <c r="A79">
        <v>8</v>
      </c>
      <c r="B79">
        <v>4.9000000000000004</v>
      </c>
      <c r="C79">
        <v>4786</v>
      </c>
    </row>
    <row r="80" spans="1:3" x14ac:dyDescent="0.35">
      <c r="A80">
        <v>4</v>
      </c>
      <c r="B80">
        <v>4.9000000000000004</v>
      </c>
      <c r="C80">
        <v>7235</v>
      </c>
    </row>
    <row r="81" spans="1:3" x14ac:dyDescent="0.35">
      <c r="A81">
        <v>4</v>
      </c>
      <c r="B81">
        <v>4.9000000000000004</v>
      </c>
      <c r="C81">
        <v>7235</v>
      </c>
    </row>
    <row r="82" spans="1:3" x14ac:dyDescent="0.35">
      <c r="A82">
        <v>8</v>
      </c>
      <c r="B82">
        <v>4.9000000000000004</v>
      </c>
      <c r="C82">
        <v>12619</v>
      </c>
    </row>
    <row r="83" spans="1:3" x14ac:dyDescent="0.35">
      <c r="A83">
        <v>8</v>
      </c>
      <c r="B83">
        <v>4.9000000000000004</v>
      </c>
      <c r="C83">
        <v>9089</v>
      </c>
    </row>
    <row r="84" spans="1:3" x14ac:dyDescent="0.35">
      <c r="A84">
        <v>6</v>
      </c>
      <c r="B84">
        <v>4.9000000000000004</v>
      </c>
      <c r="C84">
        <v>5470</v>
      </c>
    </row>
    <row r="85" spans="1:3" x14ac:dyDescent="0.35">
      <c r="A85">
        <v>20</v>
      </c>
      <c r="B85">
        <v>4.8</v>
      </c>
      <c r="C85">
        <v>5118</v>
      </c>
    </row>
    <row r="86" spans="1:3" x14ac:dyDescent="0.35">
      <c r="A86">
        <v>5</v>
      </c>
      <c r="B86">
        <v>4.5999999999999996</v>
      </c>
      <c r="C86">
        <v>2134</v>
      </c>
    </row>
    <row r="87" spans="1:3" x14ac:dyDescent="0.35">
      <c r="A87">
        <v>16</v>
      </c>
      <c r="B87">
        <v>4.5</v>
      </c>
      <c r="C87">
        <v>2525</v>
      </c>
    </row>
    <row r="88" spans="1:3" x14ac:dyDescent="0.35">
      <c r="A88">
        <v>1</v>
      </c>
      <c r="B88">
        <v>4.5</v>
      </c>
      <c r="C88">
        <v>720</v>
      </c>
    </row>
    <row r="89" spans="1:3" x14ac:dyDescent="0.35">
      <c r="A89">
        <v>14</v>
      </c>
      <c r="B89">
        <v>4.3</v>
      </c>
      <c r="C89">
        <v>956</v>
      </c>
    </row>
    <row r="90" spans="1:3" x14ac:dyDescent="0.35">
      <c r="A90">
        <v>9</v>
      </c>
      <c r="B90">
        <v>4.5</v>
      </c>
      <c r="C90">
        <v>6346</v>
      </c>
    </row>
    <row r="91" spans="1:3" x14ac:dyDescent="0.35">
      <c r="A91">
        <v>9</v>
      </c>
      <c r="B91">
        <v>4.5</v>
      </c>
      <c r="C91">
        <v>6346</v>
      </c>
    </row>
    <row r="92" spans="1:3" x14ac:dyDescent="0.35">
      <c r="A92">
        <v>7</v>
      </c>
      <c r="B92">
        <v>4.7</v>
      </c>
      <c r="C92">
        <v>5505</v>
      </c>
    </row>
    <row r="93" spans="1:3" x14ac:dyDescent="0.35">
      <c r="A93">
        <v>18</v>
      </c>
      <c r="B93">
        <v>4.7</v>
      </c>
      <c r="C93">
        <v>5505</v>
      </c>
    </row>
    <row r="94" spans="1:3" x14ac:dyDescent="0.35">
      <c r="A94">
        <v>15</v>
      </c>
      <c r="B94">
        <v>4.7</v>
      </c>
      <c r="C94">
        <v>28729</v>
      </c>
    </row>
    <row r="95" spans="1:3" x14ac:dyDescent="0.35">
      <c r="A95">
        <v>15</v>
      </c>
      <c r="B95">
        <v>4.7</v>
      </c>
      <c r="C95">
        <v>28729</v>
      </c>
    </row>
    <row r="96" spans="1:3" x14ac:dyDescent="0.35">
      <c r="A96">
        <v>9</v>
      </c>
      <c r="B96">
        <v>4.7</v>
      </c>
      <c r="C96">
        <v>5413</v>
      </c>
    </row>
    <row r="97" spans="1:3" x14ac:dyDescent="0.35">
      <c r="A97">
        <v>8</v>
      </c>
      <c r="B97">
        <v>4.5999999999999996</v>
      </c>
      <c r="C97">
        <v>10721</v>
      </c>
    </row>
    <row r="98" spans="1:3" x14ac:dyDescent="0.35">
      <c r="A98">
        <v>8</v>
      </c>
      <c r="B98">
        <v>4.5999999999999996</v>
      </c>
      <c r="C98">
        <v>10721</v>
      </c>
    </row>
    <row r="99" spans="1:3" x14ac:dyDescent="0.35">
      <c r="A99">
        <v>15</v>
      </c>
      <c r="B99">
        <v>4.7</v>
      </c>
      <c r="C99">
        <v>4370</v>
      </c>
    </row>
    <row r="100" spans="1:3" x14ac:dyDescent="0.35">
      <c r="A100">
        <v>2</v>
      </c>
      <c r="B100">
        <v>4.4000000000000004</v>
      </c>
      <c r="C100">
        <v>6042</v>
      </c>
    </row>
    <row r="101" spans="1:3" x14ac:dyDescent="0.35">
      <c r="A101">
        <v>7</v>
      </c>
      <c r="B101">
        <v>4.4000000000000004</v>
      </c>
      <c r="C101">
        <v>23631</v>
      </c>
    </row>
    <row r="102" spans="1:3" x14ac:dyDescent="0.35">
      <c r="A102">
        <v>11</v>
      </c>
      <c r="B102">
        <v>4.5</v>
      </c>
      <c r="C102">
        <v>20262</v>
      </c>
    </row>
    <row r="103" spans="1:3" x14ac:dyDescent="0.35">
      <c r="A103">
        <v>14</v>
      </c>
      <c r="B103">
        <v>3.8</v>
      </c>
      <c r="C103">
        <v>47265</v>
      </c>
    </row>
    <row r="104" spans="1:3" x14ac:dyDescent="0.35">
      <c r="A104">
        <v>14</v>
      </c>
      <c r="B104">
        <v>3.8</v>
      </c>
      <c r="C104">
        <v>47265</v>
      </c>
    </row>
    <row r="105" spans="1:3" x14ac:dyDescent="0.35">
      <c r="A105">
        <v>32</v>
      </c>
      <c r="B105">
        <v>4.5</v>
      </c>
      <c r="C105">
        <v>13964</v>
      </c>
    </row>
    <row r="106" spans="1:3" x14ac:dyDescent="0.35">
      <c r="A106">
        <v>6</v>
      </c>
      <c r="B106">
        <v>4.2</v>
      </c>
      <c r="C106">
        <v>13677</v>
      </c>
    </row>
    <row r="107" spans="1:3" x14ac:dyDescent="0.35">
      <c r="A107">
        <v>4</v>
      </c>
      <c r="B107">
        <v>4.7</v>
      </c>
      <c r="C107">
        <v>17323</v>
      </c>
    </row>
    <row r="108" spans="1:3" x14ac:dyDescent="0.35">
      <c r="A108">
        <v>4</v>
      </c>
      <c r="B108">
        <v>4.7</v>
      </c>
      <c r="C108">
        <v>17323</v>
      </c>
    </row>
    <row r="109" spans="1:3" x14ac:dyDescent="0.35">
      <c r="A109">
        <v>4</v>
      </c>
      <c r="B109">
        <v>4.7</v>
      </c>
      <c r="C109">
        <v>17323</v>
      </c>
    </row>
    <row r="110" spans="1:3" x14ac:dyDescent="0.35">
      <c r="A110">
        <v>4</v>
      </c>
      <c r="B110">
        <v>4.7</v>
      </c>
      <c r="C110">
        <v>17323</v>
      </c>
    </row>
    <row r="111" spans="1:3" x14ac:dyDescent="0.35">
      <c r="A111">
        <v>4</v>
      </c>
      <c r="B111">
        <v>4.7</v>
      </c>
      <c r="C111">
        <v>17323</v>
      </c>
    </row>
    <row r="112" spans="1:3" x14ac:dyDescent="0.35">
      <c r="A112">
        <v>9</v>
      </c>
      <c r="B112">
        <v>4.4000000000000004</v>
      </c>
      <c r="C112">
        <v>1555</v>
      </c>
    </row>
    <row r="113" spans="1:3" x14ac:dyDescent="0.35">
      <c r="A113">
        <v>0</v>
      </c>
      <c r="B113">
        <v>4.7</v>
      </c>
      <c r="C113">
        <v>3642</v>
      </c>
    </row>
    <row r="114" spans="1:3" x14ac:dyDescent="0.35">
      <c r="A114">
        <v>9</v>
      </c>
      <c r="B114">
        <v>4.4000000000000004</v>
      </c>
      <c r="C114">
        <v>1215</v>
      </c>
    </row>
    <row r="115" spans="1:3" x14ac:dyDescent="0.35">
      <c r="A115">
        <v>5</v>
      </c>
      <c r="B115">
        <v>4.5999999999999996</v>
      </c>
      <c r="C115">
        <v>5594</v>
      </c>
    </row>
    <row r="116" spans="1:3" x14ac:dyDescent="0.35">
      <c r="A116">
        <v>5</v>
      </c>
      <c r="B116">
        <v>4.5999999999999996</v>
      </c>
      <c r="C116">
        <v>5594</v>
      </c>
    </row>
    <row r="117" spans="1:3" x14ac:dyDescent="0.35">
      <c r="A117">
        <v>5</v>
      </c>
      <c r="B117">
        <v>4.5999999999999996</v>
      </c>
      <c r="C117">
        <v>5594</v>
      </c>
    </row>
    <row r="118" spans="1:3" x14ac:dyDescent="0.35">
      <c r="A118">
        <v>20</v>
      </c>
      <c r="B118">
        <v>4.5</v>
      </c>
      <c r="C118">
        <v>408</v>
      </c>
    </row>
    <row r="119" spans="1:3" x14ac:dyDescent="0.35">
      <c r="A119">
        <v>16</v>
      </c>
      <c r="B119">
        <v>4.5999999999999996</v>
      </c>
      <c r="C119">
        <v>4799</v>
      </c>
    </row>
    <row r="120" spans="1:3" x14ac:dyDescent="0.35">
      <c r="A120">
        <v>4</v>
      </c>
      <c r="B120">
        <v>4.8</v>
      </c>
      <c r="C120">
        <v>14038</v>
      </c>
    </row>
    <row r="121" spans="1:3" x14ac:dyDescent="0.35">
      <c r="A121">
        <v>4</v>
      </c>
      <c r="B121">
        <v>4.8</v>
      </c>
      <c r="C121">
        <v>14038</v>
      </c>
    </row>
    <row r="122" spans="1:3" x14ac:dyDescent="0.35">
      <c r="A122">
        <v>4</v>
      </c>
      <c r="B122">
        <v>4.8</v>
      </c>
      <c r="C122">
        <v>14038</v>
      </c>
    </row>
    <row r="123" spans="1:3" x14ac:dyDescent="0.35">
      <c r="A123">
        <v>4</v>
      </c>
      <c r="B123">
        <v>4.8</v>
      </c>
      <c r="C123">
        <v>14038</v>
      </c>
    </row>
    <row r="124" spans="1:3" x14ac:dyDescent="0.35">
      <c r="A124">
        <v>4</v>
      </c>
      <c r="B124">
        <v>4.8</v>
      </c>
      <c r="C124">
        <v>14038</v>
      </c>
    </row>
    <row r="125" spans="1:3" x14ac:dyDescent="0.35">
      <c r="A125">
        <v>12</v>
      </c>
      <c r="B125">
        <v>4.5999999999999996</v>
      </c>
      <c r="C125">
        <v>7660</v>
      </c>
    </row>
    <row r="126" spans="1:3" x14ac:dyDescent="0.35">
      <c r="A126">
        <v>12</v>
      </c>
      <c r="B126">
        <v>4.5999999999999996</v>
      </c>
      <c r="C126">
        <v>22288</v>
      </c>
    </row>
    <row r="127" spans="1:3" x14ac:dyDescent="0.35">
      <c r="A127">
        <v>12</v>
      </c>
      <c r="B127">
        <v>4.5999999999999996</v>
      </c>
      <c r="C127">
        <v>22288</v>
      </c>
    </row>
    <row r="128" spans="1:3" x14ac:dyDescent="0.35">
      <c r="A128">
        <v>11</v>
      </c>
      <c r="B128">
        <v>4.5999999999999996</v>
      </c>
      <c r="C128">
        <v>1365</v>
      </c>
    </row>
    <row r="129" spans="1:3" x14ac:dyDescent="0.35">
      <c r="A129">
        <v>19</v>
      </c>
      <c r="B129">
        <v>3.6</v>
      </c>
      <c r="C129">
        <v>14982</v>
      </c>
    </row>
    <row r="130" spans="1:3" x14ac:dyDescent="0.35">
      <c r="A130">
        <v>9</v>
      </c>
      <c r="B130">
        <v>4.8</v>
      </c>
      <c r="C130">
        <v>9568</v>
      </c>
    </row>
    <row r="131" spans="1:3" x14ac:dyDescent="0.35">
      <c r="A131">
        <v>6</v>
      </c>
      <c r="B131">
        <v>4.5999999999999996</v>
      </c>
      <c r="C131">
        <v>1636</v>
      </c>
    </row>
    <row r="132" spans="1:3" x14ac:dyDescent="0.35">
      <c r="A132">
        <v>10</v>
      </c>
      <c r="B132">
        <v>4</v>
      </c>
      <c r="C132">
        <v>57271</v>
      </c>
    </row>
    <row r="133" spans="1:3" x14ac:dyDescent="0.35">
      <c r="A133">
        <v>10</v>
      </c>
      <c r="B133">
        <v>4</v>
      </c>
      <c r="C133">
        <v>57271</v>
      </c>
    </row>
    <row r="134" spans="1:3" x14ac:dyDescent="0.35">
      <c r="A134">
        <v>9</v>
      </c>
      <c r="B134">
        <v>4</v>
      </c>
      <c r="C134">
        <v>57271</v>
      </c>
    </row>
    <row r="135" spans="1:3" x14ac:dyDescent="0.35">
      <c r="A135">
        <v>6</v>
      </c>
      <c r="B135">
        <v>4.5999999999999996</v>
      </c>
      <c r="C135">
        <v>10141</v>
      </c>
    </row>
    <row r="136" spans="1:3" x14ac:dyDescent="0.35">
      <c r="A136">
        <v>14</v>
      </c>
      <c r="B136">
        <v>4.5</v>
      </c>
      <c r="C136">
        <v>3457</v>
      </c>
    </row>
    <row r="137" spans="1:3" x14ac:dyDescent="0.35">
      <c r="A137">
        <v>14</v>
      </c>
      <c r="B137">
        <v>4.5</v>
      </c>
      <c r="C137">
        <v>3457</v>
      </c>
    </row>
    <row r="138" spans="1:3" x14ac:dyDescent="0.35">
      <c r="A138">
        <v>14</v>
      </c>
      <c r="B138">
        <v>4.5</v>
      </c>
      <c r="C138">
        <v>3457</v>
      </c>
    </row>
    <row r="139" spans="1:3" x14ac:dyDescent="0.35">
      <c r="A139">
        <v>14</v>
      </c>
      <c r="B139">
        <v>4.5</v>
      </c>
      <c r="C139">
        <v>3457</v>
      </c>
    </row>
    <row r="140" spans="1:3" x14ac:dyDescent="0.35">
      <c r="A140">
        <v>5</v>
      </c>
      <c r="B140">
        <v>4.8</v>
      </c>
      <c r="C140">
        <v>8837</v>
      </c>
    </row>
    <row r="141" spans="1:3" x14ac:dyDescent="0.35">
      <c r="A141">
        <v>5</v>
      </c>
      <c r="B141">
        <v>4.8</v>
      </c>
      <c r="C141">
        <v>8837</v>
      </c>
    </row>
    <row r="142" spans="1:3" x14ac:dyDescent="0.35">
      <c r="A142">
        <v>5</v>
      </c>
      <c r="B142">
        <v>4.8</v>
      </c>
      <c r="C142">
        <v>8837</v>
      </c>
    </row>
    <row r="143" spans="1:3" x14ac:dyDescent="0.35">
      <c r="A143">
        <v>7</v>
      </c>
      <c r="B143">
        <v>4.9000000000000004</v>
      </c>
      <c r="C143">
        <v>7038</v>
      </c>
    </row>
    <row r="144" spans="1:3" x14ac:dyDescent="0.35">
      <c r="A144">
        <v>7</v>
      </c>
      <c r="B144">
        <v>4.9000000000000004</v>
      </c>
      <c r="C144">
        <v>7038</v>
      </c>
    </row>
    <row r="145" spans="1:3" x14ac:dyDescent="0.35">
      <c r="A145">
        <v>10</v>
      </c>
      <c r="B145">
        <v>4.5999999999999996</v>
      </c>
      <c r="C145">
        <v>5972</v>
      </c>
    </row>
    <row r="146" spans="1:3" x14ac:dyDescent="0.35">
      <c r="A146">
        <v>14</v>
      </c>
      <c r="B146">
        <v>4.4000000000000004</v>
      </c>
      <c r="C146">
        <v>25624</v>
      </c>
    </row>
    <row r="147" spans="1:3" x14ac:dyDescent="0.35">
      <c r="A147">
        <v>7</v>
      </c>
      <c r="B147">
        <v>4.8</v>
      </c>
      <c r="C147">
        <v>5476</v>
      </c>
    </row>
    <row r="148" spans="1:3" x14ac:dyDescent="0.35">
      <c r="A148">
        <v>54</v>
      </c>
      <c r="B148">
        <v>4.9000000000000004</v>
      </c>
      <c r="C148">
        <v>5867</v>
      </c>
    </row>
    <row r="149" spans="1:3" x14ac:dyDescent="0.35">
      <c r="A149">
        <v>11</v>
      </c>
      <c r="B149">
        <v>4.8</v>
      </c>
      <c r="C149">
        <v>4148</v>
      </c>
    </row>
    <row r="150" spans="1:3" x14ac:dyDescent="0.35">
      <c r="A150">
        <v>30</v>
      </c>
      <c r="B150">
        <v>4.9000000000000004</v>
      </c>
      <c r="C150">
        <v>19622</v>
      </c>
    </row>
    <row r="151" spans="1:3" x14ac:dyDescent="0.35">
      <c r="A151">
        <v>12</v>
      </c>
      <c r="B151">
        <v>4</v>
      </c>
      <c r="C151">
        <v>23973</v>
      </c>
    </row>
    <row r="152" spans="1:3" x14ac:dyDescent="0.35">
      <c r="A152">
        <v>18</v>
      </c>
      <c r="B152">
        <v>4.9000000000000004</v>
      </c>
      <c r="C152">
        <v>7758</v>
      </c>
    </row>
    <row r="153" spans="1:3" x14ac:dyDescent="0.35">
      <c r="A153">
        <v>30</v>
      </c>
      <c r="B153">
        <v>4.9000000000000004</v>
      </c>
      <c r="C153">
        <v>3146</v>
      </c>
    </row>
    <row r="154" spans="1:3" x14ac:dyDescent="0.35">
      <c r="A154">
        <v>22</v>
      </c>
      <c r="B154">
        <v>4.9000000000000004</v>
      </c>
      <c r="C154">
        <v>10052</v>
      </c>
    </row>
    <row r="155" spans="1:3" x14ac:dyDescent="0.35">
      <c r="A155">
        <v>9</v>
      </c>
      <c r="B155">
        <v>4.7</v>
      </c>
      <c r="C155">
        <v>3564</v>
      </c>
    </row>
    <row r="156" spans="1:3" x14ac:dyDescent="0.35">
      <c r="A156">
        <v>52</v>
      </c>
      <c r="B156">
        <v>4.8</v>
      </c>
      <c r="C156">
        <v>13471</v>
      </c>
    </row>
    <row r="157" spans="1:3" x14ac:dyDescent="0.35">
      <c r="A157">
        <v>4</v>
      </c>
      <c r="B157">
        <v>4.8</v>
      </c>
      <c r="C157">
        <v>1930</v>
      </c>
    </row>
    <row r="158" spans="1:3" x14ac:dyDescent="0.35">
      <c r="A158">
        <v>10</v>
      </c>
      <c r="B158">
        <v>4.7</v>
      </c>
      <c r="C158">
        <v>15779</v>
      </c>
    </row>
    <row r="159" spans="1:3" x14ac:dyDescent="0.35">
      <c r="A159">
        <v>10</v>
      </c>
      <c r="B159">
        <v>4.7</v>
      </c>
      <c r="C159">
        <v>15779</v>
      </c>
    </row>
    <row r="160" spans="1:3" x14ac:dyDescent="0.35">
      <c r="A160">
        <v>14</v>
      </c>
      <c r="B160">
        <v>4.4000000000000004</v>
      </c>
      <c r="C160">
        <v>15526</v>
      </c>
    </row>
    <row r="161" spans="1:3" x14ac:dyDescent="0.35">
      <c r="A161">
        <v>14</v>
      </c>
      <c r="B161">
        <v>4.4000000000000004</v>
      </c>
      <c r="C161">
        <v>15526</v>
      </c>
    </row>
    <row r="162" spans="1:3" x14ac:dyDescent="0.35">
      <c r="A162">
        <v>22</v>
      </c>
      <c r="B162">
        <v>4.8</v>
      </c>
      <c r="C162">
        <v>3776</v>
      </c>
    </row>
    <row r="163" spans="1:3" x14ac:dyDescent="0.35">
      <c r="A163">
        <v>11</v>
      </c>
      <c r="B163">
        <v>4.7</v>
      </c>
      <c r="C163">
        <v>25001</v>
      </c>
    </row>
    <row r="164" spans="1:3" x14ac:dyDescent="0.35">
      <c r="A164">
        <v>11</v>
      </c>
      <c r="B164">
        <v>4.7</v>
      </c>
      <c r="C164">
        <v>25001</v>
      </c>
    </row>
    <row r="165" spans="1:3" x14ac:dyDescent="0.35">
      <c r="A165">
        <v>11</v>
      </c>
      <c r="B165">
        <v>4.7</v>
      </c>
      <c r="C165">
        <v>25001</v>
      </c>
    </row>
    <row r="166" spans="1:3" x14ac:dyDescent="0.35">
      <c r="A166">
        <v>11</v>
      </c>
      <c r="B166">
        <v>4.7</v>
      </c>
      <c r="C166">
        <v>25001</v>
      </c>
    </row>
    <row r="167" spans="1:3" x14ac:dyDescent="0.35">
      <c r="A167">
        <v>11</v>
      </c>
      <c r="B167">
        <v>4.7</v>
      </c>
      <c r="C167">
        <v>25001</v>
      </c>
    </row>
    <row r="168" spans="1:3" x14ac:dyDescent="0.35">
      <c r="A168">
        <v>16</v>
      </c>
      <c r="B168">
        <v>4.3</v>
      </c>
      <c r="C168">
        <v>5272</v>
      </c>
    </row>
    <row r="169" spans="1:3" x14ac:dyDescent="0.35">
      <c r="A169">
        <v>15</v>
      </c>
      <c r="B169">
        <v>4.8</v>
      </c>
      <c r="C169">
        <v>3490</v>
      </c>
    </row>
    <row r="170" spans="1:3" x14ac:dyDescent="0.35">
      <c r="A170">
        <v>15</v>
      </c>
      <c r="B170">
        <v>4.8</v>
      </c>
      <c r="C170">
        <v>3490</v>
      </c>
    </row>
    <row r="171" spans="1:3" x14ac:dyDescent="0.35">
      <c r="A171">
        <v>17</v>
      </c>
      <c r="B171">
        <v>4.9000000000000004</v>
      </c>
      <c r="C171">
        <v>2812</v>
      </c>
    </row>
    <row r="172" spans="1:3" x14ac:dyDescent="0.35">
      <c r="A172">
        <v>17</v>
      </c>
      <c r="B172">
        <v>4.7</v>
      </c>
      <c r="C172">
        <v>4896</v>
      </c>
    </row>
    <row r="173" spans="1:3" x14ac:dyDescent="0.35">
      <c r="A173">
        <v>7</v>
      </c>
      <c r="B173">
        <v>4.8</v>
      </c>
      <c r="C173">
        <v>9737</v>
      </c>
    </row>
    <row r="174" spans="1:3" x14ac:dyDescent="0.35">
      <c r="A174">
        <v>7</v>
      </c>
      <c r="B174">
        <v>4.5999999999999996</v>
      </c>
      <c r="C174">
        <v>1320</v>
      </c>
    </row>
    <row r="175" spans="1:3" x14ac:dyDescent="0.35">
      <c r="A175">
        <v>4</v>
      </c>
      <c r="B175">
        <v>4.8</v>
      </c>
      <c r="C175">
        <v>16643</v>
      </c>
    </row>
    <row r="176" spans="1:3" x14ac:dyDescent="0.35">
      <c r="A176">
        <v>4</v>
      </c>
      <c r="B176">
        <v>4.8</v>
      </c>
      <c r="C176">
        <v>16643</v>
      </c>
    </row>
    <row r="177" spans="1:3" x14ac:dyDescent="0.35">
      <c r="A177">
        <v>9</v>
      </c>
      <c r="B177">
        <v>4.3</v>
      </c>
      <c r="C177">
        <v>7153</v>
      </c>
    </row>
    <row r="178" spans="1:3" x14ac:dyDescent="0.35">
      <c r="A178">
        <v>21</v>
      </c>
      <c r="B178">
        <v>4.4000000000000004</v>
      </c>
      <c r="C178">
        <v>4571</v>
      </c>
    </row>
    <row r="179" spans="1:3" x14ac:dyDescent="0.35">
      <c r="A179">
        <v>14</v>
      </c>
      <c r="B179">
        <v>4.0999999999999996</v>
      </c>
      <c r="C179">
        <v>29651</v>
      </c>
    </row>
    <row r="180" spans="1:3" x14ac:dyDescent="0.35">
      <c r="A180">
        <v>20</v>
      </c>
      <c r="B180">
        <v>4.5999999999999996</v>
      </c>
      <c r="C180">
        <v>5299</v>
      </c>
    </row>
    <row r="181" spans="1:3" x14ac:dyDescent="0.35">
      <c r="A181">
        <v>13</v>
      </c>
      <c r="B181">
        <v>4.4000000000000004</v>
      </c>
      <c r="C181">
        <v>7396</v>
      </c>
    </row>
    <row r="182" spans="1:3" x14ac:dyDescent="0.35">
      <c r="A182">
        <v>13</v>
      </c>
      <c r="B182">
        <v>4.4000000000000004</v>
      </c>
      <c r="C182">
        <v>7396</v>
      </c>
    </row>
    <row r="183" spans="1:3" x14ac:dyDescent="0.35">
      <c r="A183">
        <v>12</v>
      </c>
      <c r="B183">
        <v>4.8</v>
      </c>
      <c r="C183">
        <v>7062</v>
      </c>
    </row>
    <row r="184" spans="1:3" x14ac:dyDescent="0.35">
      <c r="A184">
        <v>8</v>
      </c>
      <c r="B184">
        <v>4.9000000000000004</v>
      </c>
      <c r="C184">
        <v>19576</v>
      </c>
    </row>
    <row r="185" spans="1:3" x14ac:dyDescent="0.35">
      <c r="A185">
        <v>8</v>
      </c>
      <c r="B185">
        <v>4.9000000000000004</v>
      </c>
      <c r="C185">
        <v>19576</v>
      </c>
    </row>
    <row r="186" spans="1:3" x14ac:dyDescent="0.35">
      <c r="A186">
        <v>8</v>
      </c>
      <c r="B186">
        <v>4.9000000000000004</v>
      </c>
      <c r="C186">
        <v>19576</v>
      </c>
    </row>
    <row r="187" spans="1:3" x14ac:dyDescent="0.35">
      <c r="A187">
        <v>8</v>
      </c>
      <c r="B187">
        <v>4.9000000000000004</v>
      </c>
      <c r="C187">
        <v>19576</v>
      </c>
    </row>
    <row r="188" spans="1:3" x14ac:dyDescent="0.35">
      <c r="A188">
        <v>8</v>
      </c>
      <c r="B188">
        <v>4.9000000000000004</v>
      </c>
      <c r="C188">
        <v>19576</v>
      </c>
    </row>
    <row r="189" spans="1:3" x14ac:dyDescent="0.35">
      <c r="A189">
        <v>8</v>
      </c>
      <c r="B189">
        <v>4.9000000000000004</v>
      </c>
      <c r="C189">
        <v>19576</v>
      </c>
    </row>
    <row r="190" spans="1:3" x14ac:dyDescent="0.35">
      <c r="A190">
        <v>0</v>
      </c>
      <c r="B190">
        <v>4.5999999999999996</v>
      </c>
      <c r="C190">
        <v>978</v>
      </c>
    </row>
    <row r="191" spans="1:3" x14ac:dyDescent="0.35">
      <c r="A191">
        <v>12</v>
      </c>
      <c r="B191">
        <v>4.5</v>
      </c>
      <c r="C191">
        <v>4748</v>
      </c>
    </row>
    <row r="192" spans="1:3" x14ac:dyDescent="0.35">
      <c r="A192">
        <v>17</v>
      </c>
      <c r="B192">
        <v>4.5999999999999996</v>
      </c>
      <c r="C192">
        <v>8393</v>
      </c>
    </row>
    <row r="193" spans="1:3" x14ac:dyDescent="0.35">
      <c r="A193">
        <v>12</v>
      </c>
      <c r="B193">
        <v>4.5</v>
      </c>
      <c r="C193">
        <v>11391</v>
      </c>
    </row>
    <row r="194" spans="1:3" x14ac:dyDescent="0.35">
      <c r="A194">
        <v>25</v>
      </c>
      <c r="B194">
        <v>4.5999999999999996</v>
      </c>
      <c r="C194">
        <v>8634</v>
      </c>
    </row>
    <row r="195" spans="1:3" x14ac:dyDescent="0.35">
      <c r="A195">
        <v>10</v>
      </c>
      <c r="B195">
        <v>4.7</v>
      </c>
      <c r="C195">
        <v>9342</v>
      </c>
    </row>
    <row r="196" spans="1:3" x14ac:dyDescent="0.35">
      <c r="A196">
        <v>10</v>
      </c>
      <c r="B196">
        <v>4.7</v>
      </c>
      <c r="C196">
        <v>9342</v>
      </c>
    </row>
    <row r="197" spans="1:3" x14ac:dyDescent="0.35">
      <c r="A197">
        <v>6</v>
      </c>
      <c r="B197">
        <v>4.5999999999999996</v>
      </c>
      <c r="C197">
        <v>10927</v>
      </c>
    </row>
    <row r="198" spans="1:3" x14ac:dyDescent="0.35">
      <c r="A198">
        <v>5</v>
      </c>
      <c r="B198">
        <v>4.5999999999999996</v>
      </c>
      <c r="C198">
        <v>5235</v>
      </c>
    </row>
    <row r="199" spans="1:3" x14ac:dyDescent="0.35">
      <c r="A199">
        <v>6</v>
      </c>
      <c r="B199">
        <v>4.8</v>
      </c>
      <c r="C199">
        <v>8916</v>
      </c>
    </row>
    <row r="200" spans="1:3" x14ac:dyDescent="0.35">
      <c r="A200">
        <v>8</v>
      </c>
      <c r="B200">
        <v>4.8</v>
      </c>
      <c r="C200">
        <v>2507</v>
      </c>
    </row>
    <row r="201" spans="1:3" x14ac:dyDescent="0.35">
      <c r="A201">
        <v>4</v>
      </c>
      <c r="B201">
        <v>4.5</v>
      </c>
      <c r="C201">
        <v>3673</v>
      </c>
    </row>
    <row r="202" spans="1:3" x14ac:dyDescent="0.35">
      <c r="A202">
        <v>4</v>
      </c>
      <c r="B202">
        <v>4.5</v>
      </c>
      <c r="C202">
        <v>3673</v>
      </c>
    </row>
    <row r="203" spans="1:3" x14ac:dyDescent="0.35">
      <c r="A203">
        <v>4</v>
      </c>
      <c r="B203">
        <v>4.5</v>
      </c>
      <c r="C203">
        <v>3673</v>
      </c>
    </row>
    <row r="204" spans="1:3" x14ac:dyDescent="0.35">
      <c r="A204">
        <v>13</v>
      </c>
      <c r="B204">
        <v>4.9000000000000004</v>
      </c>
      <c r="C204">
        <v>11881</v>
      </c>
    </row>
    <row r="205" spans="1:3" x14ac:dyDescent="0.35">
      <c r="A205">
        <v>4</v>
      </c>
      <c r="B205">
        <v>4.5999999999999996</v>
      </c>
      <c r="C205">
        <v>6990</v>
      </c>
    </row>
    <row r="206" spans="1:3" x14ac:dyDescent="0.35">
      <c r="A206">
        <v>4</v>
      </c>
      <c r="B206">
        <v>4.5999999999999996</v>
      </c>
      <c r="C206">
        <v>6990</v>
      </c>
    </row>
    <row r="207" spans="1:3" x14ac:dyDescent="0.35">
      <c r="A207">
        <v>4</v>
      </c>
      <c r="B207">
        <v>4.5999999999999996</v>
      </c>
      <c r="C207">
        <v>6990</v>
      </c>
    </row>
    <row r="208" spans="1:3" x14ac:dyDescent="0.35">
      <c r="A208">
        <v>4</v>
      </c>
      <c r="B208">
        <v>4.5999999999999996</v>
      </c>
      <c r="C208">
        <v>6990</v>
      </c>
    </row>
    <row r="209" spans="1:3" x14ac:dyDescent="0.35">
      <c r="A209">
        <v>4</v>
      </c>
      <c r="B209">
        <v>4.5999999999999996</v>
      </c>
      <c r="C209">
        <v>6990</v>
      </c>
    </row>
    <row r="210" spans="1:3" x14ac:dyDescent="0.35">
      <c r="A210">
        <v>13</v>
      </c>
      <c r="B210">
        <v>4.5</v>
      </c>
      <c r="C210">
        <v>6132</v>
      </c>
    </row>
    <row r="211" spans="1:3" x14ac:dyDescent="0.35">
      <c r="A211">
        <v>21</v>
      </c>
      <c r="B211">
        <v>4.5</v>
      </c>
      <c r="C211">
        <v>3014</v>
      </c>
    </row>
    <row r="212" spans="1:3" x14ac:dyDescent="0.35">
      <c r="A212">
        <v>6</v>
      </c>
      <c r="B212">
        <v>4.4000000000000004</v>
      </c>
      <c r="C212">
        <v>7550</v>
      </c>
    </row>
    <row r="213" spans="1:3" x14ac:dyDescent="0.35">
      <c r="A213">
        <v>15</v>
      </c>
      <c r="B213">
        <v>4.8</v>
      </c>
      <c r="C213">
        <v>3828</v>
      </c>
    </row>
    <row r="214" spans="1:3" x14ac:dyDescent="0.35">
      <c r="A214">
        <v>18</v>
      </c>
      <c r="B214">
        <v>4.5</v>
      </c>
      <c r="C214">
        <v>2752</v>
      </c>
    </row>
    <row r="215" spans="1:3" x14ac:dyDescent="0.35">
      <c r="A215">
        <v>10</v>
      </c>
      <c r="B215">
        <v>4.0999999999999996</v>
      </c>
      <c r="C215">
        <v>1467</v>
      </c>
    </row>
    <row r="216" spans="1:3" x14ac:dyDescent="0.35">
      <c r="A216">
        <v>0</v>
      </c>
      <c r="B216">
        <v>4.9000000000000004</v>
      </c>
      <c r="C216">
        <v>1884</v>
      </c>
    </row>
    <row r="217" spans="1:3" x14ac:dyDescent="0.35">
      <c r="A217">
        <v>12</v>
      </c>
      <c r="B217">
        <v>4.5</v>
      </c>
      <c r="C217">
        <v>25706</v>
      </c>
    </row>
    <row r="218" spans="1:3" x14ac:dyDescent="0.35">
      <c r="A218">
        <v>7</v>
      </c>
      <c r="B218">
        <v>4.5</v>
      </c>
      <c r="C218">
        <v>8491</v>
      </c>
    </row>
    <row r="219" spans="1:3" x14ac:dyDescent="0.35">
      <c r="A219">
        <v>13</v>
      </c>
      <c r="B219">
        <v>4.2</v>
      </c>
      <c r="C219">
        <v>1649</v>
      </c>
    </row>
    <row r="220" spans="1:3" x14ac:dyDescent="0.35">
      <c r="A220">
        <v>5</v>
      </c>
      <c r="B220">
        <v>4.8</v>
      </c>
      <c r="C220">
        <v>18613</v>
      </c>
    </row>
    <row r="221" spans="1:3" x14ac:dyDescent="0.35">
      <c r="A221">
        <v>5</v>
      </c>
      <c r="B221">
        <v>4.8</v>
      </c>
      <c r="C221">
        <v>18613</v>
      </c>
    </row>
    <row r="222" spans="1:3" x14ac:dyDescent="0.35">
      <c r="A222">
        <v>16</v>
      </c>
      <c r="B222">
        <v>4.8</v>
      </c>
      <c r="C222">
        <v>9867</v>
      </c>
    </row>
    <row r="223" spans="1:3" x14ac:dyDescent="0.35">
      <c r="A223">
        <v>20</v>
      </c>
      <c r="B223">
        <v>4.5</v>
      </c>
      <c r="C223">
        <v>1386</v>
      </c>
    </row>
    <row r="224" spans="1:3" x14ac:dyDescent="0.35">
      <c r="A224">
        <v>11</v>
      </c>
      <c r="B224">
        <v>4.7</v>
      </c>
      <c r="C224">
        <v>10199</v>
      </c>
    </row>
    <row r="225" spans="1:3" x14ac:dyDescent="0.35">
      <c r="A225">
        <v>27</v>
      </c>
      <c r="B225">
        <v>4.8</v>
      </c>
      <c r="C225">
        <v>2926</v>
      </c>
    </row>
    <row r="226" spans="1:3" x14ac:dyDescent="0.35">
      <c r="A226">
        <v>8</v>
      </c>
      <c r="B226">
        <v>4.7</v>
      </c>
      <c r="C226">
        <v>17739</v>
      </c>
    </row>
    <row r="227" spans="1:3" x14ac:dyDescent="0.35">
      <c r="A227">
        <v>8</v>
      </c>
      <c r="B227">
        <v>4.7</v>
      </c>
      <c r="C227">
        <v>17739</v>
      </c>
    </row>
    <row r="228" spans="1:3" x14ac:dyDescent="0.35">
      <c r="A228">
        <v>8</v>
      </c>
      <c r="B228">
        <v>4.7</v>
      </c>
      <c r="C228">
        <v>17739</v>
      </c>
    </row>
    <row r="229" spans="1:3" x14ac:dyDescent="0.35">
      <c r="A229">
        <v>6</v>
      </c>
      <c r="B229">
        <v>4.4000000000000004</v>
      </c>
      <c r="C229">
        <v>3113</v>
      </c>
    </row>
    <row r="230" spans="1:3" x14ac:dyDescent="0.35">
      <c r="A230">
        <v>10</v>
      </c>
      <c r="B230">
        <v>4.5999999999999996</v>
      </c>
      <c r="C230">
        <v>5542</v>
      </c>
    </row>
    <row r="231" spans="1:3" x14ac:dyDescent="0.35">
      <c r="A231">
        <v>10</v>
      </c>
      <c r="B231">
        <v>4.5999999999999996</v>
      </c>
      <c r="C231">
        <v>5542</v>
      </c>
    </row>
    <row r="232" spans="1:3" x14ac:dyDescent="0.35">
      <c r="A232">
        <v>10</v>
      </c>
      <c r="B232">
        <v>4.5999999999999996</v>
      </c>
      <c r="C232">
        <v>5542</v>
      </c>
    </row>
    <row r="233" spans="1:3" x14ac:dyDescent="0.35">
      <c r="A233">
        <v>8</v>
      </c>
      <c r="B233">
        <v>4.5</v>
      </c>
      <c r="C233">
        <v>26741</v>
      </c>
    </row>
    <row r="234" spans="1:3" x14ac:dyDescent="0.35">
      <c r="A234">
        <v>8</v>
      </c>
      <c r="B234">
        <v>4.5</v>
      </c>
      <c r="C234">
        <v>26741</v>
      </c>
    </row>
    <row r="235" spans="1:3" x14ac:dyDescent="0.35">
      <c r="A235">
        <v>8</v>
      </c>
      <c r="B235">
        <v>4.5</v>
      </c>
      <c r="C235">
        <v>26741</v>
      </c>
    </row>
    <row r="236" spans="1:3" x14ac:dyDescent="0.35">
      <c r="A236">
        <v>16</v>
      </c>
      <c r="B236">
        <v>4.8</v>
      </c>
      <c r="C236">
        <v>5347</v>
      </c>
    </row>
    <row r="237" spans="1:3" x14ac:dyDescent="0.35">
      <c r="A237">
        <v>11</v>
      </c>
      <c r="B237">
        <v>4.8</v>
      </c>
      <c r="C237">
        <v>7866</v>
      </c>
    </row>
    <row r="238" spans="1:3" x14ac:dyDescent="0.35">
      <c r="A238">
        <v>10</v>
      </c>
      <c r="B238">
        <v>4.5999999999999996</v>
      </c>
      <c r="C238">
        <v>5680</v>
      </c>
    </row>
    <row r="239" spans="1:3" x14ac:dyDescent="0.35">
      <c r="A239">
        <v>9</v>
      </c>
      <c r="B239">
        <v>4.7</v>
      </c>
      <c r="C239">
        <v>5178</v>
      </c>
    </row>
    <row r="240" spans="1:3" x14ac:dyDescent="0.35">
      <c r="A240">
        <v>14</v>
      </c>
      <c r="B240">
        <v>4.5999999999999996</v>
      </c>
      <c r="C240">
        <v>8093</v>
      </c>
    </row>
    <row r="241" spans="1:3" x14ac:dyDescent="0.35">
      <c r="A241">
        <v>22</v>
      </c>
      <c r="B241">
        <v>4.9000000000000004</v>
      </c>
      <c r="C241">
        <v>3192</v>
      </c>
    </row>
    <row r="242" spans="1:3" x14ac:dyDescent="0.35">
      <c r="A242">
        <v>8</v>
      </c>
      <c r="B242">
        <v>4.9000000000000004</v>
      </c>
      <c r="C242">
        <v>21834</v>
      </c>
    </row>
    <row r="243" spans="1:3" x14ac:dyDescent="0.35">
      <c r="A243">
        <v>8</v>
      </c>
      <c r="B243">
        <v>4.9000000000000004</v>
      </c>
      <c r="C243">
        <v>21834</v>
      </c>
    </row>
    <row r="244" spans="1:3" x14ac:dyDescent="0.35">
      <c r="A244">
        <v>8</v>
      </c>
      <c r="B244">
        <v>4.9000000000000004</v>
      </c>
      <c r="C244">
        <v>21834</v>
      </c>
    </row>
    <row r="245" spans="1:3" x14ac:dyDescent="0.35">
      <c r="A245">
        <v>8</v>
      </c>
      <c r="B245">
        <v>4.9000000000000004</v>
      </c>
      <c r="C245">
        <v>21834</v>
      </c>
    </row>
    <row r="246" spans="1:3" x14ac:dyDescent="0.35">
      <c r="A246">
        <v>8</v>
      </c>
      <c r="B246">
        <v>4.9000000000000004</v>
      </c>
      <c r="C246">
        <v>21834</v>
      </c>
    </row>
    <row r="247" spans="1:3" x14ac:dyDescent="0.35">
      <c r="A247">
        <v>8</v>
      </c>
      <c r="B247">
        <v>4.9000000000000004</v>
      </c>
      <c r="C247">
        <v>21834</v>
      </c>
    </row>
    <row r="248" spans="1:3" x14ac:dyDescent="0.35">
      <c r="A248">
        <v>8</v>
      </c>
      <c r="B248">
        <v>4.9000000000000004</v>
      </c>
      <c r="C248">
        <v>21834</v>
      </c>
    </row>
    <row r="249" spans="1:3" x14ac:dyDescent="0.35">
      <c r="A249">
        <v>8</v>
      </c>
      <c r="B249">
        <v>4.9000000000000004</v>
      </c>
      <c r="C249">
        <v>21834</v>
      </c>
    </row>
    <row r="250" spans="1:3" x14ac:dyDescent="0.35">
      <c r="A250">
        <v>7</v>
      </c>
      <c r="B250">
        <v>4.8</v>
      </c>
      <c r="C250">
        <v>6169</v>
      </c>
    </row>
    <row r="251" spans="1:3" x14ac:dyDescent="0.35">
      <c r="A251">
        <v>12</v>
      </c>
      <c r="B251">
        <v>4.2</v>
      </c>
      <c r="C251">
        <v>4519</v>
      </c>
    </row>
    <row r="252" spans="1:3" x14ac:dyDescent="0.35">
      <c r="A252">
        <v>13</v>
      </c>
      <c r="B252">
        <v>4.5999999999999996</v>
      </c>
      <c r="C252">
        <v>3163</v>
      </c>
    </row>
    <row r="253" spans="1:3" x14ac:dyDescent="0.35">
      <c r="A253">
        <v>13</v>
      </c>
      <c r="B253">
        <v>4.5999999999999996</v>
      </c>
      <c r="C253">
        <v>3163</v>
      </c>
    </row>
    <row r="254" spans="1:3" x14ac:dyDescent="0.35">
      <c r="A254">
        <v>9</v>
      </c>
      <c r="B254">
        <v>4.5</v>
      </c>
      <c r="C254">
        <v>1831</v>
      </c>
    </row>
    <row r="255" spans="1:3" x14ac:dyDescent="0.35">
      <c r="A255">
        <v>13</v>
      </c>
      <c r="B255">
        <v>4.3</v>
      </c>
      <c r="C255">
        <v>18904</v>
      </c>
    </row>
    <row r="256" spans="1:3" x14ac:dyDescent="0.35">
      <c r="A256">
        <v>11</v>
      </c>
      <c r="B256">
        <v>4.5999999999999996</v>
      </c>
      <c r="C256">
        <v>21930</v>
      </c>
    </row>
    <row r="257" spans="1:3" x14ac:dyDescent="0.35">
      <c r="A257">
        <v>20</v>
      </c>
      <c r="B257">
        <v>4.5999999999999996</v>
      </c>
      <c r="C257">
        <v>10426</v>
      </c>
    </row>
    <row r="258" spans="1:3" x14ac:dyDescent="0.35">
      <c r="A258">
        <v>20</v>
      </c>
      <c r="B258">
        <v>4.5999999999999996</v>
      </c>
      <c r="C258">
        <v>10426</v>
      </c>
    </row>
    <row r="259" spans="1:3" x14ac:dyDescent="0.35">
      <c r="A259">
        <v>5</v>
      </c>
      <c r="B259">
        <v>4.7</v>
      </c>
      <c r="C259">
        <v>10820</v>
      </c>
    </row>
    <row r="260" spans="1:3" x14ac:dyDescent="0.35">
      <c r="A260">
        <v>5</v>
      </c>
      <c r="B260">
        <v>4.7</v>
      </c>
      <c r="C260">
        <v>10820</v>
      </c>
    </row>
    <row r="261" spans="1:3" x14ac:dyDescent="0.35">
      <c r="A261">
        <v>2</v>
      </c>
      <c r="B261">
        <v>4.8</v>
      </c>
      <c r="C261">
        <v>548</v>
      </c>
    </row>
    <row r="262" spans="1:3" x14ac:dyDescent="0.35">
      <c r="A262">
        <v>27</v>
      </c>
      <c r="B262">
        <v>4.8</v>
      </c>
      <c r="C262">
        <v>16990</v>
      </c>
    </row>
    <row r="263" spans="1:3" x14ac:dyDescent="0.35">
      <c r="A263">
        <v>27</v>
      </c>
      <c r="B263">
        <v>4.8</v>
      </c>
      <c r="C263">
        <v>16990</v>
      </c>
    </row>
    <row r="264" spans="1:3" x14ac:dyDescent="0.35">
      <c r="A264">
        <v>27</v>
      </c>
      <c r="B264">
        <v>4.8</v>
      </c>
      <c r="C264">
        <v>16990</v>
      </c>
    </row>
    <row r="265" spans="1:3" x14ac:dyDescent="0.35">
      <c r="A265">
        <v>9</v>
      </c>
      <c r="B265">
        <v>4.7</v>
      </c>
      <c r="C265">
        <v>3503</v>
      </c>
    </row>
    <row r="266" spans="1:3" x14ac:dyDescent="0.35">
      <c r="A266">
        <v>10</v>
      </c>
      <c r="B266">
        <v>4.3</v>
      </c>
      <c r="C266">
        <v>13616</v>
      </c>
    </row>
    <row r="267" spans="1:3" x14ac:dyDescent="0.35">
      <c r="A267">
        <v>10</v>
      </c>
      <c r="B267">
        <v>4.3</v>
      </c>
      <c r="C267">
        <v>13616</v>
      </c>
    </row>
    <row r="268" spans="1:3" x14ac:dyDescent="0.35">
      <c r="A268">
        <v>46</v>
      </c>
      <c r="B268">
        <v>4.5</v>
      </c>
      <c r="C268">
        <v>8580</v>
      </c>
    </row>
    <row r="269" spans="1:3" x14ac:dyDescent="0.35">
      <c r="A269">
        <v>46</v>
      </c>
      <c r="B269">
        <v>4.5</v>
      </c>
      <c r="C269">
        <v>8580</v>
      </c>
    </row>
    <row r="270" spans="1:3" x14ac:dyDescent="0.35">
      <c r="A270">
        <v>46</v>
      </c>
      <c r="B270">
        <v>4.5</v>
      </c>
      <c r="C270">
        <v>8580</v>
      </c>
    </row>
    <row r="271" spans="1:3" x14ac:dyDescent="0.35">
      <c r="A271">
        <v>46</v>
      </c>
      <c r="B271">
        <v>4.5</v>
      </c>
      <c r="C271">
        <v>8580</v>
      </c>
    </row>
    <row r="272" spans="1:3" x14ac:dyDescent="0.35">
      <c r="A272">
        <v>46</v>
      </c>
      <c r="B272">
        <v>4.5</v>
      </c>
      <c r="C272">
        <v>8580</v>
      </c>
    </row>
    <row r="273" spans="1:3" x14ac:dyDescent="0.35">
      <c r="A273">
        <v>46</v>
      </c>
      <c r="B273">
        <v>4.5</v>
      </c>
      <c r="C273">
        <v>8580</v>
      </c>
    </row>
    <row r="274" spans="1:3" x14ac:dyDescent="0.35">
      <c r="A274">
        <v>46</v>
      </c>
      <c r="B274">
        <v>4.5</v>
      </c>
      <c r="C274">
        <v>8580</v>
      </c>
    </row>
    <row r="275" spans="1:3" x14ac:dyDescent="0.35">
      <c r="A275">
        <v>46</v>
      </c>
      <c r="B275">
        <v>4.5</v>
      </c>
      <c r="C275">
        <v>8580</v>
      </c>
    </row>
    <row r="276" spans="1:3" x14ac:dyDescent="0.35">
      <c r="A276">
        <v>46</v>
      </c>
      <c r="B276">
        <v>4.5</v>
      </c>
      <c r="C276">
        <v>8580</v>
      </c>
    </row>
    <row r="277" spans="1:3" x14ac:dyDescent="0.35">
      <c r="A277">
        <v>46</v>
      </c>
      <c r="B277">
        <v>4.5</v>
      </c>
      <c r="C277">
        <v>8580</v>
      </c>
    </row>
    <row r="278" spans="1:3" x14ac:dyDescent="0.35">
      <c r="A278">
        <v>4</v>
      </c>
      <c r="B278">
        <v>4.8</v>
      </c>
      <c r="C278">
        <v>4757</v>
      </c>
    </row>
    <row r="279" spans="1:3" x14ac:dyDescent="0.35">
      <c r="A279">
        <v>20</v>
      </c>
      <c r="B279">
        <v>4.5999999999999996</v>
      </c>
      <c r="C279">
        <v>10009</v>
      </c>
    </row>
    <row r="280" spans="1:3" x14ac:dyDescent="0.35">
      <c r="A280">
        <v>7</v>
      </c>
      <c r="B280">
        <v>4.5999999999999996</v>
      </c>
      <c r="C280">
        <v>10009</v>
      </c>
    </row>
    <row r="281" spans="1:3" x14ac:dyDescent="0.35">
      <c r="A281">
        <v>9</v>
      </c>
      <c r="B281">
        <v>4.7</v>
      </c>
      <c r="C281">
        <v>1985</v>
      </c>
    </row>
    <row r="282" spans="1:3" x14ac:dyDescent="0.35">
      <c r="A282">
        <v>9</v>
      </c>
      <c r="B282">
        <v>4.7</v>
      </c>
      <c r="C282">
        <v>1985</v>
      </c>
    </row>
    <row r="283" spans="1:3" x14ac:dyDescent="0.35">
      <c r="A283">
        <v>12</v>
      </c>
      <c r="B283">
        <v>4.5999999999999996</v>
      </c>
      <c r="C283">
        <v>22536</v>
      </c>
    </row>
    <row r="284" spans="1:3" x14ac:dyDescent="0.35">
      <c r="A284">
        <v>12</v>
      </c>
      <c r="B284">
        <v>4.5999999999999996</v>
      </c>
      <c r="C284">
        <v>22536</v>
      </c>
    </row>
    <row r="285" spans="1:3" x14ac:dyDescent="0.35">
      <c r="A285">
        <v>12</v>
      </c>
      <c r="B285">
        <v>4.9000000000000004</v>
      </c>
      <c r="C285">
        <v>7150</v>
      </c>
    </row>
    <row r="286" spans="1:3" x14ac:dyDescent="0.35">
      <c r="A286">
        <v>12</v>
      </c>
      <c r="B286">
        <v>4.9000000000000004</v>
      </c>
      <c r="C286">
        <v>3836</v>
      </c>
    </row>
    <row r="287" spans="1:3" x14ac:dyDescent="0.35">
      <c r="A287">
        <v>20</v>
      </c>
      <c r="B287">
        <v>4.8</v>
      </c>
      <c r="C287">
        <v>7802</v>
      </c>
    </row>
    <row r="288" spans="1:3" x14ac:dyDescent="0.35">
      <c r="A288">
        <v>20</v>
      </c>
      <c r="B288">
        <v>4.8</v>
      </c>
      <c r="C288">
        <v>7802</v>
      </c>
    </row>
    <row r="289" spans="1:3" x14ac:dyDescent="0.35">
      <c r="A289">
        <v>10</v>
      </c>
      <c r="B289">
        <v>4.5999999999999996</v>
      </c>
      <c r="C289">
        <v>3619</v>
      </c>
    </row>
    <row r="290" spans="1:3" x14ac:dyDescent="0.35">
      <c r="A290">
        <v>6</v>
      </c>
      <c r="B290">
        <v>4.8</v>
      </c>
      <c r="C290">
        <v>23047</v>
      </c>
    </row>
    <row r="291" spans="1:3" x14ac:dyDescent="0.35">
      <c r="A291">
        <v>6</v>
      </c>
      <c r="B291">
        <v>4.8</v>
      </c>
      <c r="C291">
        <v>23047</v>
      </c>
    </row>
    <row r="292" spans="1:3" x14ac:dyDescent="0.35">
      <c r="A292">
        <v>9</v>
      </c>
      <c r="B292">
        <v>4.7</v>
      </c>
      <c r="C292">
        <v>9366</v>
      </c>
    </row>
    <row r="293" spans="1:3" x14ac:dyDescent="0.35">
      <c r="A293">
        <v>11</v>
      </c>
      <c r="B293">
        <v>4.7</v>
      </c>
      <c r="C293">
        <v>1265</v>
      </c>
    </row>
    <row r="294" spans="1:3" x14ac:dyDescent="0.35">
      <c r="A294">
        <v>16</v>
      </c>
      <c r="B294">
        <v>4.8</v>
      </c>
      <c r="C294">
        <v>3923</v>
      </c>
    </row>
    <row r="295" spans="1:3" x14ac:dyDescent="0.35">
      <c r="A295">
        <v>6</v>
      </c>
      <c r="B295">
        <v>4.0999999999999996</v>
      </c>
      <c r="C295">
        <v>2272</v>
      </c>
    </row>
    <row r="296" spans="1:3" x14ac:dyDescent="0.35">
      <c r="A296">
        <v>25</v>
      </c>
      <c r="B296">
        <v>4.7</v>
      </c>
      <c r="C296">
        <v>973</v>
      </c>
    </row>
    <row r="297" spans="1:3" x14ac:dyDescent="0.35">
      <c r="A297">
        <v>17</v>
      </c>
      <c r="B297">
        <v>4.5999999999999996</v>
      </c>
      <c r="C297">
        <v>220</v>
      </c>
    </row>
    <row r="298" spans="1:3" x14ac:dyDescent="0.35">
      <c r="A298">
        <v>20</v>
      </c>
      <c r="B298">
        <v>4.5999999999999996</v>
      </c>
      <c r="C298">
        <v>7827</v>
      </c>
    </row>
    <row r="299" spans="1:3" x14ac:dyDescent="0.35">
      <c r="A299">
        <v>20</v>
      </c>
      <c r="B299">
        <v>4.5999999999999996</v>
      </c>
      <c r="C299">
        <v>7827</v>
      </c>
    </row>
    <row r="300" spans="1:3" x14ac:dyDescent="0.35">
      <c r="A300">
        <v>6</v>
      </c>
      <c r="B300">
        <v>4.9000000000000004</v>
      </c>
      <c r="C300">
        <v>9382</v>
      </c>
    </row>
    <row r="301" spans="1:3" x14ac:dyDescent="0.35">
      <c r="A301">
        <v>17</v>
      </c>
      <c r="B301">
        <v>4</v>
      </c>
      <c r="C301">
        <v>5069</v>
      </c>
    </row>
    <row r="302" spans="1:3" x14ac:dyDescent="0.35">
      <c r="A302">
        <v>17</v>
      </c>
      <c r="B302">
        <v>4</v>
      </c>
      <c r="C302">
        <v>5069</v>
      </c>
    </row>
    <row r="303" spans="1:3" x14ac:dyDescent="0.35">
      <c r="A303">
        <v>17</v>
      </c>
      <c r="B303">
        <v>4</v>
      </c>
      <c r="C303">
        <v>5069</v>
      </c>
    </row>
    <row r="304" spans="1:3" x14ac:dyDescent="0.35">
      <c r="A304">
        <v>17</v>
      </c>
      <c r="B304">
        <v>4</v>
      </c>
      <c r="C304">
        <v>5069</v>
      </c>
    </row>
    <row r="305" spans="1:3" x14ac:dyDescent="0.35">
      <c r="A305">
        <v>17</v>
      </c>
      <c r="B305">
        <v>4</v>
      </c>
      <c r="C305">
        <v>5069</v>
      </c>
    </row>
    <row r="306" spans="1:3" x14ac:dyDescent="0.35">
      <c r="A306">
        <v>17</v>
      </c>
      <c r="B306">
        <v>4</v>
      </c>
      <c r="C306">
        <v>5069</v>
      </c>
    </row>
    <row r="307" spans="1:3" x14ac:dyDescent="0.35">
      <c r="A307">
        <v>17</v>
      </c>
      <c r="B307">
        <v>4</v>
      </c>
      <c r="C307">
        <v>5069</v>
      </c>
    </row>
    <row r="308" spans="1:3" x14ac:dyDescent="0.35">
      <c r="A308">
        <v>17</v>
      </c>
      <c r="B308">
        <v>4</v>
      </c>
      <c r="C308">
        <v>5069</v>
      </c>
    </row>
    <row r="309" spans="1:3" x14ac:dyDescent="0.35">
      <c r="A309">
        <v>17</v>
      </c>
      <c r="B309">
        <v>4</v>
      </c>
      <c r="C309">
        <v>5069</v>
      </c>
    </row>
    <row r="310" spans="1:3" x14ac:dyDescent="0.35">
      <c r="A310">
        <v>18</v>
      </c>
      <c r="B310">
        <v>4.5</v>
      </c>
      <c r="C310">
        <v>1583</v>
      </c>
    </row>
    <row r="311" spans="1:3" x14ac:dyDescent="0.35">
      <c r="A311">
        <v>13</v>
      </c>
      <c r="B311">
        <v>4.5999999999999996</v>
      </c>
      <c r="C311">
        <v>1907</v>
      </c>
    </row>
    <row r="312" spans="1:3" x14ac:dyDescent="0.35">
      <c r="A312">
        <v>18</v>
      </c>
      <c r="B312">
        <v>4.5</v>
      </c>
      <c r="C312">
        <v>23114</v>
      </c>
    </row>
    <row r="313" spans="1:3" x14ac:dyDescent="0.35">
      <c r="A313">
        <v>20</v>
      </c>
      <c r="B313">
        <v>4.4000000000000004</v>
      </c>
      <c r="C313">
        <v>637</v>
      </c>
    </row>
    <row r="314" spans="1:3" x14ac:dyDescent="0.35">
      <c r="A314">
        <v>20</v>
      </c>
      <c r="B314">
        <v>4.4000000000000004</v>
      </c>
      <c r="C314">
        <v>637</v>
      </c>
    </row>
    <row r="315" spans="1:3" x14ac:dyDescent="0.35">
      <c r="A315">
        <v>22</v>
      </c>
      <c r="B315">
        <v>4.3</v>
      </c>
      <c r="C315">
        <v>2314</v>
      </c>
    </row>
    <row r="316" spans="1:3" x14ac:dyDescent="0.35">
      <c r="A316">
        <v>21</v>
      </c>
      <c r="B316">
        <v>4.3</v>
      </c>
      <c r="C316">
        <v>4587</v>
      </c>
    </row>
    <row r="317" spans="1:3" x14ac:dyDescent="0.35">
      <c r="A317">
        <v>28</v>
      </c>
      <c r="B317">
        <v>4.7</v>
      </c>
      <c r="C317">
        <v>3477</v>
      </c>
    </row>
    <row r="318" spans="1:3" x14ac:dyDescent="0.35">
      <c r="A318">
        <v>28</v>
      </c>
      <c r="B318">
        <v>4.7</v>
      </c>
      <c r="C318">
        <v>3477</v>
      </c>
    </row>
    <row r="319" spans="1:3" x14ac:dyDescent="0.35">
      <c r="A319">
        <v>28</v>
      </c>
      <c r="B319">
        <v>4.7</v>
      </c>
      <c r="C319">
        <v>3477</v>
      </c>
    </row>
    <row r="320" spans="1:3" x14ac:dyDescent="0.35">
      <c r="A320">
        <v>28</v>
      </c>
      <c r="B320">
        <v>4.7</v>
      </c>
      <c r="C320">
        <v>3477</v>
      </c>
    </row>
    <row r="321" spans="1:3" x14ac:dyDescent="0.35">
      <c r="A321">
        <v>28</v>
      </c>
      <c r="B321">
        <v>4.7</v>
      </c>
      <c r="C321">
        <v>3477</v>
      </c>
    </row>
    <row r="322" spans="1:3" x14ac:dyDescent="0.35">
      <c r="A322">
        <v>8</v>
      </c>
      <c r="B322">
        <v>4.8</v>
      </c>
      <c r="C322">
        <v>25554</v>
      </c>
    </row>
    <row r="323" spans="1:3" x14ac:dyDescent="0.35">
      <c r="A323">
        <v>8</v>
      </c>
      <c r="B323">
        <v>4.8</v>
      </c>
      <c r="C323">
        <v>25554</v>
      </c>
    </row>
    <row r="324" spans="1:3" x14ac:dyDescent="0.35">
      <c r="A324">
        <v>8</v>
      </c>
      <c r="B324">
        <v>4.8</v>
      </c>
      <c r="C324">
        <v>25554</v>
      </c>
    </row>
    <row r="325" spans="1:3" x14ac:dyDescent="0.35">
      <c r="A325">
        <v>8</v>
      </c>
      <c r="B325">
        <v>4.8</v>
      </c>
      <c r="C325">
        <v>25554</v>
      </c>
    </row>
    <row r="326" spans="1:3" x14ac:dyDescent="0.35">
      <c r="A326">
        <v>8</v>
      </c>
      <c r="B326">
        <v>4.8</v>
      </c>
      <c r="C326">
        <v>25554</v>
      </c>
    </row>
    <row r="327" spans="1:3" x14ac:dyDescent="0.35">
      <c r="A327">
        <v>12</v>
      </c>
      <c r="B327">
        <v>4.8</v>
      </c>
      <c r="C327">
        <v>1680</v>
      </c>
    </row>
    <row r="328" spans="1:3" x14ac:dyDescent="0.35">
      <c r="A328">
        <v>24</v>
      </c>
      <c r="B328">
        <v>4.5999999999999996</v>
      </c>
      <c r="C328">
        <v>9325</v>
      </c>
    </row>
    <row r="329" spans="1:3" x14ac:dyDescent="0.35">
      <c r="A329">
        <v>24</v>
      </c>
      <c r="B329">
        <v>4.5999999999999996</v>
      </c>
      <c r="C329">
        <v>9325</v>
      </c>
    </row>
    <row r="330" spans="1:3" x14ac:dyDescent="0.35">
      <c r="A330">
        <v>24</v>
      </c>
      <c r="B330">
        <v>4.5999999999999996</v>
      </c>
      <c r="C330">
        <v>9325</v>
      </c>
    </row>
    <row r="331" spans="1:3" x14ac:dyDescent="0.35">
      <c r="A331">
        <v>24</v>
      </c>
      <c r="B331">
        <v>4.5999999999999996</v>
      </c>
      <c r="C331">
        <v>9325</v>
      </c>
    </row>
    <row r="332" spans="1:3" x14ac:dyDescent="0.35">
      <c r="A332">
        <v>16</v>
      </c>
      <c r="B332">
        <v>4.7</v>
      </c>
      <c r="C332">
        <v>4725</v>
      </c>
    </row>
    <row r="333" spans="1:3" x14ac:dyDescent="0.35">
      <c r="A333">
        <v>16</v>
      </c>
      <c r="B333">
        <v>4.7</v>
      </c>
      <c r="C333">
        <v>4725</v>
      </c>
    </row>
    <row r="334" spans="1:3" x14ac:dyDescent="0.35">
      <c r="A334">
        <v>16</v>
      </c>
      <c r="B334">
        <v>4.7</v>
      </c>
      <c r="C334">
        <v>4725</v>
      </c>
    </row>
    <row r="335" spans="1:3" x14ac:dyDescent="0.35">
      <c r="A335">
        <v>39</v>
      </c>
      <c r="B335">
        <v>4.7</v>
      </c>
      <c r="C335">
        <v>35799</v>
      </c>
    </row>
    <row r="336" spans="1:3" x14ac:dyDescent="0.35">
      <c r="A336">
        <v>9</v>
      </c>
      <c r="B336">
        <v>4.5999999999999996</v>
      </c>
      <c r="C336">
        <v>2580</v>
      </c>
    </row>
    <row r="337" spans="1:3" x14ac:dyDescent="0.35">
      <c r="A337">
        <v>10</v>
      </c>
      <c r="B337">
        <v>4.7</v>
      </c>
      <c r="C337">
        <v>11813</v>
      </c>
    </row>
    <row r="338" spans="1:3" x14ac:dyDescent="0.35">
      <c r="A338">
        <v>10</v>
      </c>
      <c r="B338">
        <v>4.7</v>
      </c>
      <c r="C338">
        <v>11813</v>
      </c>
    </row>
    <row r="339" spans="1:3" x14ac:dyDescent="0.35">
      <c r="A339">
        <v>17</v>
      </c>
      <c r="B339">
        <v>4.7</v>
      </c>
      <c r="C339">
        <v>3536</v>
      </c>
    </row>
    <row r="340" spans="1:3" x14ac:dyDescent="0.35">
      <c r="A340">
        <v>11</v>
      </c>
      <c r="B340">
        <v>4.8</v>
      </c>
      <c r="C340">
        <v>6600</v>
      </c>
    </row>
    <row r="341" spans="1:3" x14ac:dyDescent="0.35">
      <c r="A341">
        <v>14</v>
      </c>
      <c r="B341">
        <v>4.2</v>
      </c>
      <c r="C341">
        <v>1789</v>
      </c>
    </row>
    <row r="342" spans="1:3" x14ac:dyDescent="0.35">
      <c r="A342">
        <v>12</v>
      </c>
      <c r="B342">
        <v>4.8</v>
      </c>
      <c r="C342">
        <v>12361</v>
      </c>
    </row>
    <row r="343" spans="1:3" x14ac:dyDescent="0.35">
      <c r="A343">
        <v>53</v>
      </c>
      <c r="B343">
        <v>4.7</v>
      </c>
      <c r="C343">
        <v>858</v>
      </c>
    </row>
    <row r="344" spans="1:3" x14ac:dyDescent="0.35">
      <c r="A344">
        <v>6</v>
      </c>
      <c r="B344">
        <v>4.5999999999999996</v>
      </c>
      <c r="C344">
        <v>23148</v>
      </c>
    </row>
    <row r="345" spans="1:3" x14ac:dyDescent="0.35">
      <c r="A345">
        <v>6</v>
      </c>
      <c r="B345">
        <v>4.5999999999999996</v>
      </c>
      <c r="C345">
        <v>23148</v>
      </c>
    </row>
    <row r="346" spans="1:3" x14ac:dyDescent="0.35">
      <c r="A346">
        <v>8</v>
      </c>
      <c r="B346">
        <v>4.8</v>
      </c>
      <c r="C346">
        <v>8081</v>
      </c>
    </row>
    <row r="347" spans="1:3" x14ac:dyDescent="0.35">
      <c r="A347">
        <v>8</v>
      </c>
      <c r="B347">
        <v>4.8</v>
      </c>
      <c r="C347">
        <v>8081</v>
      </c>
    </row>
    <row r="348" spans="1:3" x14ac:dyDescent="0.35">
      <c r="A348">
        <v>12</v>
      </c>
      <c r="B348">
        <v>4.8</v>
      </c>
      <c r="C348">
        <v>23358</v>
      </c>
    </row>
    <row r="349" spans="1:3" x14ac:dyDescent="0.35">
      <c r="A349">
        <v>12</v>
      </c>
      <c r="B349">
        <v>4.8</v>
      </c>
      <c r="C349">
        <v>23358</v>
      </c>
    </row>
    <row r="350" spans="1:3" x14ac:dyDescent="0.35">
      <c r="A350">
        <v>12</v>
      </c>
      <c r="B350">
        <v>3.3</v>
      </c>
      <c r="C350">
        <v>9372</v>
      </c>
    </row>
    <row r="351" spans="1:3" x14ac:dyDescent="0.35">
      <c r="A351">
        <v>21</v>
      </c>
      <c r="B351">
        <v>4.7</v>
      </c>
      <c r="C351">
        <v>4633</v>
      </c>
    </row>
    <row r="352" spans="1:3" x14ac:dyDescent="0.35">
      <c r="A352">
        <v>6</v>
      </c>
      <c r="B352">
        <v>4.3</v>
      </c>
      <c r="C352">
        <v>13061</v>
      </c>
    </row>
    <row r="353" spans="1:3" x14ac:dyDescent="0.35">
      <c r="A353">
        <v>6</v>
      </c>
      <c r="B353">
        <v>4.3</v>
      </c>
      <c r="C353">
        <v>13061</v>
      </c>
    </row>
    <row r="354" spans="1:3" x14ac:dyDescent="0.35">
      <c r="A354">
        <v>13</v>
      </c>
      <c r="B354">
        <v>4.3</v>
      </c>
      <c r="C354">
        <v>3523</v>
      </c>
    </row>
    <row r="355" spans="1:3" x14ac:dyDescent="0.35">
      <c r="A355">
        <v>0</v>
      </c>
      <c r="B355">
        <v>4.8</v>
      </c>
      <c r="C355">
        <v>2774</v>
      </c>
    </row>
    <row r="356" spans="1:3" x14ac:dyDescent="0.35">
      <c r="A356">
        <v>11</v>
      </c>
      <c r="B356">
        <v>4.4000000000000004</v>
      </c>
      <c r="C356">
        <v>440</v>
      </c>
    </row>
    <row r="357" spans="1:3" x14ac:dyDescent="0.35">
      <c r="A357">
        <v>9</v>
      </c>
      <c r="B357">
        <v>4.8</v>
      </c>
      <c r="C357">
        <v>8922</v>
      </c>
    </row>
    <row r="358" spans="1:3" x14ac:dyDescent="0.35">
      <c r="A358">
        <v>9</v>
      </c>
      <c r="B358">
        <v>4.8</v>
      </c>
      <c r="C358">
        <v>8922</v>
      </c>
    </row>
    <row r="359" spans="1:3" x14ac:dyDescent="0.35">
      <c r="A359">
        <v>9</v>
      </c>
      <c r="B359">
        <v>4.8</v>
      </c>
      <c r="C359">
        <v>8922</v>
      </c>
    </row>
    <row r="360" spans="1:3" x14ac:dyDescent="0.35">
      <c r="A360">
        <v>15</v>
      </c>
      <c r="B360">
        <v>4.0999999999999996</v>
      </c>
      <c r="C360">
        <v>2023</v>
      </c>
    </row>
    <row r="361" spans="1:3" x14ac:dyDescent="0.35">
      <c r="A361">
        <v>11</v>
      </c>
      <c r="B361">
        <v>4</v>
      </c>
      <c r="C361">
        <v>1859</v>
      </c>
    </row>
    <row r="362" spans="1:3" x14ac:dyDescent="0.35">
      <c r="A362">
        <v>13</v>
      </c>
      <c r="B362">
        <v>4.7</v>
      </c>
      <c r="C362">
        <v>50482</v>
      </c>
    </row>
    <row r="363" spans="1:3" x14ac:dyDescent="0.35">
      <c r="A363">
        <v>13</v>
      </c>
      <c r="B363">
        <v>4.7</v>
      </c>
      <c r="C363">
        <v>50482</v>
      </c>
    </row>
    <row r="364" spans="1:3" x14ac:dyDescent="0.35">
      <c r="A364">
        <v>7</v>
      </c>
      <c r="B364">
        <v>4.7</v>
      </c>
      <c r="C364">
        <v>50482</v>
      </c>
    </row>
    <row r="365" spans="1:3" x14ac:dyDescent="0.35">
      <c r="A365">
        <v>13</v>
      </c>
      <c r="B365">
        <v>4.7</v>
      </c>
      <c r="C365">
        <v>50482</v>
      </c>
    </row>
    <row r="366" spans="1:3" x14ac:dyDescent="0.35">
      <c r="A366">
        <v>6</v>
      </c>
      <c r="B366">
        <v>4.5999999999999996</v>
      </c>
      <c r="C366">
        <v>3207</v>
      </c>
    </row>
    <row r="367" spans="1:3" x14ac:dyDescent="0.35">
      <c r="A367">
        <v>6</v>
      </c>
      <c r="B367">
        <v>4.5999999999999996</v>
      </c>
      <c r="C367">
        <v>3207</v>
      </c>
    </row>
    <row r="368" spans="1:3" x14ac:dyDescent="0.35">
      <c r="A368">
        <v>6</v>
      </c>
      <c r="B368">
        <v>4.5999999999999996</v>
      </c>
      <c r="C368">
        <v>3207</v>
      </c>
    </row>
    <row r="369" spans="1:3" x14ac:dyDescent="0.35">
      <c r="A369">
        <v>6</v>
      </c>
      <c r="B369">
        <v>4.5999999999999996</v>
      </c>
      <c r="C369">
        <v>3207</v>
      </c>
    </row>
    <row r="370" spans="1:3" x14ac:dyDescent="0.35">
      <c r="A370">
        <v>6</v>
      </c>
      <c r="B370">
        <v>4.5999999999999996</v>
      </c>
      <c r="C370">
        <v>3207</v>
      </c>
    </row>
    <row r="371" spans="1:3" x14ac:dyDescent="0.35">
      <c r="A371">
        <v>9</v>
      </c>
      <c r="B371">
        <v>4.5999999999999996</v>
      </c>
      <c r="C371">
        <v>803</v>
      </c>
    </row>
    <row r="372" spans="1:3" x14ac:dyDescent="0.35">
      <c r="A372">
        <v>6</v>
      </c>
      <c r="B372">
        <v>4.7</v>
      </c>
      <c r="C372">
        <v>23308</v>
      </c>
    </row>
    <row r="373" spans="1:3" x14ac:dyDescent="0.35">
      <c r="A373">
        <v>6</v>
      </c>
      <c r="B373">
        <v>4.7</v>
      </c>
      <c r="C373">
        <v>23308</v>
      </c>
    </row>
    <row r="374" spans="1:3" x14ac:dyDescent="0.35">
      <c r="A374">
        <v>6</v>
      </c>
      <c r="B374">
        <v>4.7</v>
      </c>
      <c r="C374">
        <v>23308</v>
      </c>
    </row>
    <row r="375" spans="1:3" x14ac:dyDescent="0.35">
      <c r="A375">
        <v>6</v>
      </c>
      <c r="B375">
        <v>4.7</v>
      </c>
      <c r="C375">
        <v>23308</v>
      </c>
    </row>
    <row r="376" spans="1:3" x14ac:dyDescent="0.35">
      <c r="A376">
        <v>6</v>
      </c>
      <c r="B376">
        <v>4.7</v>
      </c>
      <c r="C376">
        <v>23308</v>
      </c>
    </row>
    <row r="377" spans="1:3" x14ac:dyDescent="0.35">
      <c r="A377">
        <v>6</v>
      </c>
      <c r="B377">
        <v>4.7</v>
      </c>
      <c r="C377">
        <v>23308</v>
      </c>
    </row>
    <row r="378" spans="1:3" x14ac:dyDescent="0.35">
      <c r="A378">
        <v>0</v>
      </c>
      <c r="B378">
        <v>4.8</v>
      </c>
      <c r="C378">
        <v>5836</v>
      </c>
    </row>
    <row r="379" spans="1:3" x14ac:dyDescent="0.35">
      <c r="A379">
        <v>18</v>
      </c>
      <c r="B379">
        <v>4.0999999999999996</v>
      </c>
      <c r="C379">
        <v>79446</v>
      </c>
    </row>
    <row r="380" spans="1:3" x14ac:dyDescent="0.35">
      <c r="A380">
        <v>7</v>
      </c>
      <c r="B380">
        <v>4.0999999999999996</v>
      </c>
      <c r="C380">
        <v>79446</v>
      </c>
    </row>
    <row r="381" spans="1:3" x14ac:dyDescent="0.35">
      <c r="A381">
        <v>14</v>
      </c>
      <c r="B381">
        <v>4.7</v>
      </c>
      <c r="C381">
        <v>7747</v>
      </c>
    </row>
    <row r="382" spans="1:3" x14ac:dyDescent="0.35">
      <c r="A382">
        <v>14</v>
      </c>
      <c r="B382">
        <v>4.7</v>
      </c>
      <c r="C382">
        <v>7747</v>
      </c>
    </row>
    <row r="383" spans="1:3" x14ac:dyDescent="0.35">
      <c r="A383">
        <v>9</v>
      </c>
      <c r="B383">
        <v>4.7</v>
      </c>
      <c r="C383">
        <v>7251</v>
      </c>
    </row>
    <row r="384" spans="1:3" x14ac:dyDescent="0.35">
      <c r="A384">
        <v>16</v>
      </c>
      <c r="B384">
        <v>4.7</v>
      </c>
      <c r="C384">
        <v>7251</v>
      </c>
    </row>
    <row r="385" spans="1:3" x14ac:dyDescent="0.35">
      <c r="A385">
        <v>2</v>
      </c>
      <c r="B385">
        <v>4.4000000000000004</v>
      </c>
      <c r="C385">
        <v>10559</v>
      </c>
    </row>
    <row r="386" spans="1:3" x14ac:dyDescent="0.35">
      <c r="A386">
        <v>2</v>
      </c>
      <c r="B386">
        <v>4.4000000000000004</v>
      </c>
      <c r="C386">
        <v>10559</v>
      </c>
    </row>
    <row r="387" spans="1:3" x14ac:dyDescent="0.35">
      <c r="A387">
        <v>5</v>
      </c>
      <c r="B387">
        <v>4.8</v>
      </c>
      <c r="C387">
        <v>5249</v>
      </c>
    </row>
    <row r="388" spans="1:3" x14ac:dyDescent="0.35">
      <c r="A388">
        <v>5</v>
      </c>
      <c r="B388">
        <v>4.8</v>
      </c>
      <c r="C388">
        <v>5249</v>
      </c>
    </row>
    <row r="389" spans="1:3" x14ac:dyDescent="0.35">
      <c r="A389">
        <v>20</v>
      </c>
      <c r="B389">
        <v>3.9</v>
      </c>
      <c r="C389">
        <v>33844</v>
      </c>
    </row>
    <row r="390" spans="1:3" x14ac:dyDescent="0.35">
      <c r="A390">
        <v>20</v>
      </c>
      <c r="B390">
        <v>3.9</v>
      </c>
      <c r="C390">
        <v>33844</v>
      </c>
    </row>
    <row r="391" spans="1:3" x14ac:dyDescent="0.35">
      <c r="A391">
        <v>7</v>
      </c>
      <c r="B391">
        <v>4.4000000000000004</v>
      </c>
      <c r="C391">
        <v>11616</v>
      </c>
    </row>
    <row r="392" spans="1:3" x14ac:dyDescent="0.35">
      <c r="A392">
        <v>7</v>
      </c>
      <c r="B392">
        <v>4.4000000000000004</v>
      </c>
      <c r="C392">
        <v>11616</v>
      </c>
    </row>
    <row r="393" spans="1:3" x14ac:dyDescent="0.35">
      <c r="A393">
        <v>7</v>
      </c>
      <c r="B393">
        <v>4.4000000000000004</v>
      </c>
      <c r="C393">
        <v>11616</v>
      </c>
    </row>
    <row r="394" spans="1:3" x14ac:dyDescent="0.35">
      <c r="A394">
        <v>14</v>
      </c>
      <c r="B394">
        <v>4.5</v>
      </c>
      <c r="C394">
        <v>13609</v>
      </c>
    </row>
    <row r="395" spans="1:3" x14ac:dyDescent="0.35">
      <c r="A395">
        <v>10</v>
      </c>
      <c r="B395">
        <v>4.7</v>
      </c>
      <c r="C395">
        <v>8587</v>
      </c>
    </row>
    <row r="396" spans="1:3" x14ac:dyDescent="0.35">
      <c r="A396">
        <v>7</v>
      </c>
      <c r="B396">
        <v>4.3</v>
      </c>
      <c r="C396">
        <v>29442</v>
      </c>
    </row>
    <row r="397" spans="1:3" x14ac:dyDescent="0.35">
      <c r="A397">
        <v>13</v>
      </c>
      <c r="B397">
        <v>4.5999999999999996</v>
      </c>
      <c r="C397">
        <v>11098</v>
      </c>
    </row>
    <row r="398" spans="1:3" x14ac:dyDescent="0.35">
      <c r="A398">
        <v>11</v>
      </c>
      <c r="B398">
        <v>4.8</v>
      </c>
      <c r="C398">
        <v>9947</v>
      </c>
    </row>
    <row r="399" spans="1:3" x14ac:dyDescent="0.35">
      <c r="A399">
        <v>6</v>
      </c>
      <c r="B399">
        <v>4.8</v>
      </c>
      <c r="C399">
        <v>13871</v>
      </c>
    </row>
    <row r="400" spans="1:3" x14ac:dyDescent="0.35">
      <c r="A400">
        <v>6</v>
      </c>
      <c r="B400">
        <v>4.8</v>
      </c>
      <c r="C400">
        <v>13871</v>
      </c>
    </row>
    <row r="401" spans="1:3" x14ac:dyDescent="0.35">
      <c r="A401">
        <v>8</v>
      </c>
      <c r="B401">
        <v>4.8</v>
      </c>
      <c r="C401">
        <v>13871</v>
      </c>
    </row>
    <row r="402" spans="1:3" x14ac:dyDescent="0.35">
      <c r="A402">
        <v>7</v>
      </c>
      <c r="B402">
        <v>4.8</v>
      </c>
      <c r="C402">
        <v>13871</v>
      </c>
    </row>
    <row r="403" spans="1:3" x14ac:dyDescent="0.35">
      <c r="A403">
        <v>14</v>
      </c>
      <c r="B403">
        <v>4.8</v>
      </c>
      <c r="C403">
        <v>6982</v>
      </c>
    </row>
    <row r="404" spans="1:3" x14ac:dyDescent="0.35">
      <c r="A404">
        <v>14</v>
      </c>
      <c r="B404">
        <v>4.7</v>
      </c>
      <c r="C404">
        <v>32122</v>
      </c>
    </row>
    <row r="405" spans="1:3" x14ac:dyDescent="0.35">
      <c r="A405">
        <v>8</v>
      </c>
      <c r="B405">
        <v>4.7</v>
      </c>
      <c r="C405">
        <v>32122</v>
      </c>
    </row>
    <row r="406" spans="1:3" x14ac:dyDescent="0.35">
      <c r="A406">
        <v>8</v>
      </c>
      <c r="B406">
        <v>4.7</v>
      </c>
      <c r="C406">
        <v>32122</v>
      </c>
    </row>
    <row r="407" spans="1:3" x14ac:dyDescent="0.35">
      <c r="A407">
        <v>30</v>
      </c>
      <c r="B407">
        <v>4.8</v>
      </c>
      <c r="C407">
        <v>16949</v>
      </c>
    </row>
    <row r="408" spans="1:3" x14ac:dyDescent="0.35">
      <c r="A408">
        <v>30</v>
      </c>
      <c r="B408">
        <v>4.8</v>
      </c>
      <c r="C408">
        <v>16949</v>
      </c>
    </row>
    <row r="409" spans="1:3" x14ac:dyDescent="0.35">
      <c r="A409">
        <v>13</v>
      </c>
      <c r="B409">
        <v>4.7</v>
      </c>
      <c r="C409">
        <v>9289</v>
      </c>
    </row>
    <row r="410" spans="1:3" x14ac:dyDescent="0.35">
      <c r="A410">
        <v>9</v>
      </c>
      <c r="B410">
        <v>4.7</v>
      </c>
      <c r="C410">
        <v>9289</v>
      </c>
    </row>
    <row r="411" spans="1:3" x14ac:dyDescent="0.35">
      <c r="A411">
        <v>9</v>
      </c>
      <c r="B411">
        <v>4.7</v>
      </c>
      <c r="C411">
        <v>9289</v>
      </c>
    </row>
    <row r="412" spans="1:3" x14ac:dyDescent="0.35">
      <c r="A412">
        <v>7</v>
      </c>
      <c r="B412">
        <v>4.3</v>
      </c>
      <c r="C412">
        <v>7368</v>
      </c>
    </row>
    <row r="413" spans="1:3" x14ac:dyDescent="0.35">
      <c r="A413">
        <v>7</v>
      </c>
      <c r="B413">
        <v>4.3</v>
      </c>
      <c r="C413">
        <v>7368</v>
      </c>
    </row>
    <row r="414" spans="1:3" x14ac:dyDescent="0.35">
      <c r="A414">
        <v>9</v>
      </c>
      <c r="B414">
        <v>4.7</v>
      </c>
      <c r="C414">
        <v>4028</v>
      </c>
    </row>
    <row r="415" spans="1:3" x14ac:dyDescent="0.35">
      <c r="A415">
        <v>7</v>
      </c>
      <c r="B415">
        <v>4.8</v>
      </c>
      <c r="C415">
        <v>4628</v>
      </c>
    </row>
    <row r="416" spans="1:3" x14ac:dyDescent="0.35">
      <c r="A416">
        <v>7</v>
      </c>
      <c r="B416">
        <v>4.8</v>
      </c>
      <c r="C416">
        <v>4628</v>
      </c>
    </row>
    <row r="417" spans="1:3" x14ac:dyDescent="0.35">
      <c r="A417">
        <v>20</v>
      </c>
      <c r="B417">
        <v>4.9000000000000004</v>
      </c>
      <c r="C417">
        <v>5396</v>
      </c>
    </row>
    <row r="418" spans="1:3" x14ac:dyDescent="0.35">
      <c r="A418">
        <v>13</v>
      </c>
      <c r="B418">
        <v>4.4000000000000004</v>
      </c>
      <c r="C418">
        <v>4247</v>
      </c>
    </row>
    <row r="419" spans="1:3" x14ac:dyDescent="0.35">
      <c r="A419">
        <v>13</v>
      </c>
      <c r="B419">
        <v>4.4000000000000004</v>
      </c>
      <c r="C419">
        <v>4247</v>
      </c>
    </row>
    <row r="420" spans="1:3" x14ac:dyDescent="0.35">
      <c r="A420">
        <v>11</v>
      </c>
      <c r="B420">
        <v>4.5</v>
      </c>
      <c r="C420">
        <v>22641</v>
      </c>
    </row>
    <row r="421" spans="1:3" x14ac:dyDescent="0.35">
      <c r="A421">
        <v>11</v>
      </c>
      <c r="B421">
        <v>4.5</v>
      </c>
      <c r="C421">
        <v>22641</v>
      </c>
    </row>
    <row r="422" spans="1:3" x14ac:dyDescent="0.35">
      <c r="A422">
        <v>11</v>
      </c>
      <c r="B422">
        <v>4.5</v>
      </c>
      <c r="C422">
        <v>22641</v>
      </c>
    </row>
    <row r="423" spans="1:3" x14ac:dyDescent="0.35">
      <c r="A423">
        <v>11</v>
      </c>
      <c r="B423">
        <v>4.5</v>
      </c>
      <c r="C423">
        <v>22641</v>
      </c>
    </row>
    <row r="424" spans="1:3" x14ac:dyDescent="0.35">
      <c r="A424">
        <v>18</v>
      </c>
      <c r="B424">
        <v>4.4000000000000004</v>
      </c>
      <c r="C424">
        <v>6222</v>
      </c>
    </row>
    <row r="425" spans="1:3" x14ac:dyDescent="0.35">
      <c r="A425">
        <v>14</v>
      </c>
      <c r="B425">
        <v>4.8</v>
      </c>
      <c r="C425">
        <v>4506</v>
      </c>
    </row>
    <row r="426" spans="1:3" x14ac:dyDescent="0.35">
      <c r="A426">
        <v>19</v>
      </c>
      <c r="B426">
        <v>4.2</v>
      </c>
      <c r="C426">
        <v>8747</v>
      </c>
    </row>
    <row r="427" spans="1:3" x14ac:dyDescent="0.35">
      <c r="A427">
        <v>13</v>
      </c>
      <c r="B427">
        <v>4.8</v>
      </c>
      <c r="C427">
        <v>1655</v>
      </c>
    </row>
    <row r="428" spans="1:3" x14ac:dyDescent="0.35">
      <c r="A428">
        <v>5</v>
      </c>
      <c r="B428">
        <v>4.9000000000000004</v>
      </c>
      <c r="C428">
        <v>7861</v>
      </c>
    </row>
    <row r="429" spans="1:3" x14ac:dyDescent="0.35">
      <c r="A429">
        <v>10</v>
      </c>
      <c r="B429">
        <v>4.8</v>
      </c>
      <c r="C429">
        <v>6247</v>
      </c>
    </row>
    <row r="430" spans="1:3" x14ac:dyDescent="0.35">
      <c r="A430">
        <v>9</v>
      </c>
      <c r="B430">
        <v>4.7</v>
      </c>
      <c r="C430">
        <v>39459</v>
      </c>
    </row>
    <row r="431" spans="1:3" x14ac:dyDescent="0.35">
      <c r="A431">
        <v>8</v>
      </c>
      <c r="B431">
        <v>4.5</v>
      </c>
      <c r="C431">
        <v>10101</v>
      </c>
    </row>
    <row r="432" spans="1:3" x14ac:dyDescent="0.35">
      <c r="A432">
        <v>8</v>
      </c>
      <c r="B432">
        <v>4.8</v>
      </c>
      <c r="C432">
        <v>5898</v>
      </c>
    </row>
    <row r="433" spans="1:3" x14ac:dyDescent="0.35">
      <c r="A433">
        <v>12</v>
      </c>
      <c r="B433">
        <v>4.5999999999999996</v>
      </c>
      <c r="C433">
        <v>2744</v>
      </c>
    </row>
    <row r="434" spans="1:3" x14ac:dyDescent="0.35">
      <c r="A434">
        <v>11</v>
      </c>
      <c r="B434">
        <v>4.8</v>
      </c>
      <c r="C434">
        <v>49288</v>
      </c>
    </row>
    <row r="435" spans="1:3" x14ac:dyDescent="0.35">
      <c r="A435">
        <v>11</v>
      </c>
      <c r="B435">
        <v>4.8</v>
      </c>
      <c r="C435">
        <v>49288</v>
      </c>
    </row>
    <row r="436" spans="1:3" x14ac:dyDescent="0.35">
      <c r="A436">
        <v>40</v>
      </c>
      <c r="B436">
        <v>4.4000000000000004</v>
      </c>
      <c r="C436">
        <v>1201</v>
      </c>
    </row>
    <row r="437" spans="1:3" x14ac:dyDescent="0.35">
      <c r="A437">
        <v>40</v>
      </c>
      <c r="B437">
        <v>4.4000000000000004</v>
      </c>
      <c r="C437">
        <v>1201</v>
      </c>
    </row>
    <row r="438" spans="1:3" x14ac:dyDescent="0.35">
      <c r="A438">
        <v>40</v>
      </c>
      <c r="B438">
        <v>4.4000000000000004</v>
      </c>
      <c r="C438">
        <v>1201</v>
      </c>
    </row>
    <row r="439" spans="1:3" x14ac:dyDescent="0.35">
      <c r="A439">
        <v>40</v>
      </c>
      <c r="B439">
        <v>4.4000000000000004</v>
      </c>
      <c r="C439">
        <v>1201</v>
      </c>
    </row>
    <row r="440" spans="1:3" x14ac:dyDescent="0.35">
      <c r="A440">
        <v>40</v>
      </c>
      <c r="B440">
        <v>4.4000000000000004</v>
      </c>
      <c r="C440">
        <v>1201</v>
      </c>
    </row>
    <row r="441" spans="1:3" x14ac:dyDescent="0.35">
      <c r="A441">
        <v>36</v>
      </c>
      <c r="B441">
        <v>4.3</v>
      </c>
      <c r="C441">
        <v>807</v>
      </c>
    </row>
    <row r="442" spans="1:3" x14ac:dyDescent="0.35">
      <c r="A442">
        <v>16</v>
      </c>
      <c r="B442">
        <v>4.3</v>
      </c>
      <c r="C442">
        <v>3759</v>
      </c>
    </row>
    <row r="443" spans="1:3" x14ac:dyDescent="0.35">
      <c r="A443">
        <v>17</v>
      </c>
      <c r="B443">
        <v>4.8</v>
      </c>
      <c r="C443">
        <v>2663</v>
      </c>
    </row>
    <row r="444" spans="1:3" x14ac:dyDescent="0.35">
      <c r="A444">
        <v>14</v>
      </c>
      <c r="B444">
        <v>4.8</v>
      </c>
      <c r="C444">
        <v>3428</v>
      </c>
    </row>
    <row r="445" spans="1:3" x14ac:dyDescent="0.35">
      <c r="A445">
        <v>21</v>
      </c>
      <c r="B445">
        <v>4.8</v>
      </c>
      <c r="C445">
        <v>2876</v>
      </c>
    </row>
    <row r="446" spans="1:3" x14ac:dyDescent="0.35">
      <c r="A446">
        <v>18</v>
      </c>
      <c r="B446">
        <v>4.5</v>
      </c>
      <c r="C446">
        <v>3601</v>
      </c>
    </row>
    <row r="447" spans="1:3" x14ac:dyDescent="0.35">
      <c r="A447">
        <v>17</v>
      </c>
      <c r="B447">
        <v>4.4000000000000004</v>
      </c>
      <c r="C447">
        <v>7058</v>
      </c>
    </row>
    <row r="448" spans="1:3" x14ac:dyDescent="0.35">
      <c r="A448">
        <v>5</v>
      </c>
      <c r="B448">
        <v>4.8</v>
      </c>
      <c r="C448">
        <v>9784</v>
      </c>
    </row>
    <row r="449" spans="1:3" x14ac:dyDescent="0.35">
      <c r="A449">
        <v>5</v>
      </c>
      <c r="B449">
        <v>4.8</v>
      </c>
      <c r="C449">
        <v>9784</v>
      </c>
    </row>
    <row r="450" spans="1:3" x14ac:dyDescent="0.35">
      <c r="A450">
        <v>21</v>
      </c>
      <c r="B450">
        <v>4.5999999999999996</v>
      </c>
      <c r="C450">
        <v>10795</v>
      </c>
    </row>
    <row r="451" spans="1:3" x14ac:dyDescent="0.35">
      <c r="A451">
        <v>18</v>
      </c>
      <c r="B451">
        <v>4.3</v>
      </c>
      <c r="C451">
        <v>10191</v>
      </c>
    </row>
    <row r="452" spans="1:3" x14ac:dyDescent="0.35">
      <c r="A452">
        <v>18</v>
      </c>
      <c r="B452">
        <v>4.3</v>
      </c>
      <c r="C452">
        <v>14493</v>
      </c>
    </row>
    <row r="453" spans="1:3" x14ac:dyDescent="0.35">
      <c r="A453">
        <v>12</v>
      </c>
      <c r="B453">
        <v>4.5999999999999996</v>
      </c>
      <c r="C453">
        <v>2186</v>
      </c>
    </row>
    <row r="454" spans="1:3" x14ac:dyDescent="0.35">
      <c r="A454">
        <v>14</v>
      </c>
      <c r="B454">
        <v>4.5999999999999996</v>
      </c>
      <c r="C454">
        <v>1204</v>
      </c>
    </row>
    <row r="455" spans="1:3" x14ac:dyDescent="0.35">
      <c r="A455">
        <v>12</v>
      </c>
      <c r="B455">
        <v>4.8</v>
      </c>
      <c r="C455">
        <v>2091</v>
      </c>
    </row>
    <row r="456" spans="1:3" x14ac:dyDescent="0.35">
      <c r="A456">
        <v>8</v>
      </c>
      <c r="B456">
        <v>4.5999999999999996</v>
      </c>
      <c r="C456">
        <v>19720</v>
      </c>
    </row>
    <row r="457" spans="1:3" x14ac:dyDescent="0.35">
      <c r="A457">
        <v>8</v>
      </c>
      <c r="B457">
        <v>4.5999999999999996</v>
      </c>
      <c r="C457">
        <v>19720</v>
      </c>
    </row>
    <row r="458" spans="1:3" x14ac:dyDescent="0.35">
      <c r="A458">
        <v>0</v>
      </c>
      <c r="B458">
        <v>4.5999999999999996</v>
      </c>
      <c r="C458">
        <v>2122</v>
      </c>
    </row>
    <row r="459" spans="1:3" x14ac:dyDescent="0.35">
      <c r="A459">
        <v>14</v>
      </c>
      <c r="B459">
        <v>4.5</v>
      </c>
      <c r="C459">
        <v>27536</v>
      </c>
    </row>
    <row r="460" spans="1:3" x14ac:dyDescent="0.35">
      <c r="A460">
        <v>10</v>
      </c>
      <c r="B460">
        <v>4.8</v>
      </c>
      <c r="C460">
        <v>4290</v>
      </c>
    </row>
    <row r="461" spans="1:3" x14ac:dyDescent="0.35">
      <c r="A461">
        <v>15</v>
      </c>
      <c r="B461">
        <v>4.5999999999999996</v>
      </c>
      <c r="C461">
        <v>26490</v>
      </c>
    </row>
    <row r="462" spans="1:3" x14ac:dyDescent="0.35">
      <c r="A462">
        <v>15</v>
      </c>
      <c r="B462">
        <v>4.5999999999999996</v>
      </c>
      <c r="C462">
        <v>26490</v>
      </c>
    </row>
    <row r="463" spans="1:3" x14ac:dyDescent="0.35">
      <c r="A463">
        <v>15</v>
      </c>
      <c r="B463">
        <v>4.5999999999999996</v>
      </c>
      <c r="C463">
        <v>26490</v>
      </c>
    </row>
    <row r="464" spans="1:3" x14ac:dyDescent="0.35">
      <c r="A464">
        <v>9</v>
      </c>
      <c r="B464">
        <v>4.7</v>
      </c>
      <c r="C464">
        <v>5487</v>
      </c>
    </row>
    <row r="465" spans="1:3" x14ac:dyDescent="0.35">
      <c r="A465">
        <v>7</v>
      </c>
      <c r="B465">
        <v>4.7</v>
      </c>
      <c r="C465">
        <v>6377</v>
      </c>
    </row>
    <row r="466" spans="1:3" x14ac:dyDescent="0.35">
      <c r="A466">
        <v>10</v>
      </c>
      <c r="B466">
        <v>4.7</v>
      </c>
      <c r="C466">
        <v>1463</v>
      </c>
    </row>
    <row r="467" spans="1:3" x14ac:dyDescent="0.35">
      <c r="A467">
        <v>6</v>
      </c>
      <c r="B467">
        <v>4.4000000000000004</v>
      </c>
      <c r="C467">
        <v>3759</v>
      </c>
    </row>
    <row r="468" spans="1:3" x14ac:dyDescent="0.35">
      <c r="A468">
        <v>9</v>
      </c>
      <c r="B468">
        <v>4.4000000000000004</v>
      </c>
      <c r="C468">
        <v>3503</v>
      </c>
    </row>
    <row r="469" spans="1:3" x14ac:dyDescent="0.35">
      <c r="A469">
        <v>10</v>
      </c>
      <c r="B469">
        <v>4.7</v>
      </c>
      <c r="C469">
        <v>11550</v>
      </c>
    </row>
    <row r="470" spans="1:3" x14ac:dyDescent="0.35">
      <c r="A470">
        <v>82</v>
      </c>
      <c r="B470">
        <v>4.7</v>
      </c>
      <c r="C470">
        <v>3801</v>
      </c>
    </row>
    <row r="471" spans="1:3" x14ac:dyDescent="0.35">
      <c r="A471">
        <v>12</v>
      </c>
      <c r="B471">
        <v>4.8</v>
      </c>
      <c r="C471">
        <v>3796</v>
      </c>
    </row>
    <row r="472" spans="1:3" x14ac:dyDescent="0.35">
      <c r="A472">
        <v>10</v>
      </c>
      <c r="B472">
        <v>4.7</v>
      </c>
      <c r="C472">
        <v>9030</v>
      </c>
    </row>
    <row r="473" spans="1:3" x14ac:dyDescent="0.35">
      <c r="A473">
        <v>5</v>
      </c>
      <c r="B473">
        <v>4.9000000000000004</v>
      </c>
      <c r="C473">
        <v>19546</v>
      </c>
    </row>
    <row r="474" spans="1:3" x14ac:dyDescent="0.35">
      <c r="A474">
        <v>5</v>
      </c>
      <c r="B474">
        <v>4.9000000000000004</v>
      </c>
      <c r="C474">
        <v>19546</v>
      </c>
    </row>
    <row r="475" spans="1:3" x14ac:dyDescent="0.35">
      <c r="A475">
        <v>5</v>
      </c>
      <c r="B475">
        <v>4.9000000000000004</v>
      </c>
      <c r="C475">
        <v>19546</v>
      </c>
    </row>
    <row r="476" spans="1:3" x14ac:dyDescent="0.35">
      <c r="A476">
        <v>5</v>
      </c>
      <c r="B476">
        <v>4.9000000000000004</v>
      </c>
      <c r="C476">
        <v>19546</v>
      </c>
    </row>
    <row r="477" spans="1:3" x14ac:dyDescent="0.35">
      <c r="A477">
        <v>5</v>
      </c>
      <c r="B477">
        <v>4.9000000000000004</v>
      </c>
      <c r="C477">
        <v>19546</v>
      </c>
    </row>
    <row r="478" spans="1:3" x14ac:dyDescent="0.35">
      <c r="A478">
        <v>5</v>
      </c>
      <c r="B478">
        <v>4.9000000000000004</v>
      </c>
      <c r="C478">
        <v>19546</v>
      </c>
    </row>
    <row r="479" spans="1:3" x14ac:dyDescent="0.35">
      <c r="A479">
        <v>5</v>
      </c>
      <c r="B479">
        <v>4.9000000000000004</v>
      </c>
      <c r="C479">
        <v>19546</v>
      </c>
    </row>
    <row r="480" spans="1:3" x14ac:dyDescent="0.35">
      <c r="A480">
        <v>16</v>
      </c>
      <c r="B480">
        <v>4.5999999999999996</v>
      </c>
      <c r="C480">
        <v>7508</v>
      </c>
    </row>
    <row r="481" spans="1:3" x14ac:dyDescent="0.35">
      <c r="A481">
        <v>16</v>
      </c>
      <c r="B481">
        <v>4.5999999999999996</v>
      </c>
      <c r="C481">
        <v>7508</v>
      </c>
    </row>
    <row r="482" spans="1:3" x14ac:dyDescent="0.35">
      <c r="A482">
        <v>16</v>
      </c>
      <c r="B482">
        <v>4.5999999999999996</v>
      </c>
      <c r="C482">
        <v>7508</v>
      </c>
    </row>
    <row r="483" spans="1:3" x14ac:dyDescent="0.35">
      <c r="A483">
        <v>10</v>
      </c>
      <c r="B483">
        <v>4.9000000000000004</v>
      </c>
      <c r="C483">
        <v>8842</v>
      </c>
    </row>
    <row r="484" spans="1:3" x14ac:dyDescent="0.35">
      <c r="A484">
        <v>10</v>
      </c>
      <c r="B484">
        <v>4.9000000000000004</v>
      </c>
      <c r="C484">
        <v>8842</v>
      </c>
    </row>
    <row r="485" spans="1:3" x14ac:dyDescent="0.35">
      <c r="A485">
        <v>10</v>
      </c>
      <c r="B485">
        <v>4.9000000000000004</v>
      </c>
      <c r="C485">
        <v>8842</v>
      </c>
    </row>
    <row r="486" spans="1:3" x14ac:dyDescent="0.35">
      <c r="A486">
        <v>10</v>
      </c>
      <c r="B486">
        <v>4.9000000000000004</v>
      </c>
      <c r="C486">
        <v>8842</v>
      </c>
    </row>
    <row r="487" spans="1:3" x14ac:dyDescent="0.35">
      <c r="A487">
        <v>4</v>
      </c>
      <c r="B487">
        <v>4.8</v>
      </c>
      <c r="C487">
        <v>30183</v>
      </c>
    </row>
    <row r="488" spans="1:3" x14ac:dyDescent="0.35">
      <c r="A488">
        <v>4</v>
      </c>
      <c r="B488">
        <v>4.8</v>
      </c>
      <c r="C488">
        <v>30183</v>
      </c>
    </row>
    <row r="489" spans="1:3" x14ac:dyDescent="0.35">
      <c r="A489">
        <v>16</v>
      </c>
      <c r="B489">
        <v>4.7</v>
      </c>
      <c r="C489">
        <v>6169</v>
      </c>
    </row>
    <row r="490" spans="1:3" x14ac:dyDescent="0.35">
      <c r="A490">
        <v>15</v>
      </c>
      <c r="B490">
        <v>4.7</v>
      </c>
      <c r="C490">
        <v>7034</v>
      </c>
    </row>
    <row r="491" spans="1:3" x14ac:dyDescent="0.35">
      <c r="A491">
        <v>19</v>
      </c>
      <c r="B491">
        <v>4.5999999999999996</v>
      </c>
      <c r="C491">
        <v>11034</v>
      </c>
    </row>
    <row r="492" spans="1:3" x14ac:dyDescent="0.35">
      <c r="A492">
        <v>19</v>
      </c>
      <c r="B492">
        <v>4.5999999999999996</v>
      </c>
      <c r="C492">
        <v>11034</v>
      </c>
    </row>
    <row r="493" spans="1:3" x14ac:dyDescent="0.35">
      <c r="A493">
        <v>9</v>
      </c>
      <c r="B493">
        <v>4.5</v>
      </c>
      <c r="C493">
        <v>7932</v>
      </c>
    </row>
    <row r="494" spans="1:3" x14ac:dyDescent="0.35">
      <c r="A494">
        <v>23</v>
      </c>
      <c r="B494">
        <v>4.5</v>
      </c>
      <c r="C494">
        <v>1904</v>
      </c>
    </row>
    <row r="495" spans="1:3" x14ac:dyDescent="0.35">
      <c r="A495">
        <v>11</v>
      </c>
      <c r="B495">
        <v>4.3</v>
      </c>
      <c r="C495">
        <v>3319</v>
      </c>
    </row>
    <row r="496" spans="1:3" x14ac:dyDescent="0.35">
      <c r="A496">
        <v>11</v>
      </c>
      <c r="B496">
        <v>4.3</v>
      </c>
      <c r="C496">
        <v>3319</v>
      </c>
    </row>
    <row r="497" spans="1:3" x14ac:dyDescent="0.35">
      <c r="A497">
        <v>23</v>
      </c>
      <c r="B497">
        <v>4.5999999999999996</v>
      </c>
      <c r="C497">
        <v>11128</v>
      </c>
    </row>
    <row r="498" spans="1:3" x14ac:dyDescent="0.35">
      <c r="A498">
        <v>23</v>
      </c>
      <c r="B498">
        <v>4.5999999999999996</v>
      </c>
      <c r="C498">
        <v>11128</v>
      </c>
    </row>
    <row r="499" spans="1:3" x14ac:dyDescent="0.35">
      <c r="A499">
        <v>23</v>
      </c>
      <c r="B499">
        <v>4.5999999999999996</v>
      </c>
      <c r="C499">
        <v>11128</v>
      </c>
    </row>
    <row r="500" spans="1:3" x14ac:dyDescent="0.35">
      <c r="A500">
        <v>23</v>
      </c>
      <c r="B500">
        <v>4.5999999999999996</v>
      </c>
      <c r="C500">
        <v>11128</v>
      </c>
    </row>
    <row r="501" spans="1:3" x14ac:dyDescent="0.35">
      <c r="A501">
        <v>12</v>
      </c>
      <c r="B501">
        <v>4.3</v>
      </c>
      <c r="C501">
        <v>5977</v>
      </c>
    </row>
    <row r="502" spans="1:3" x14ac:dyDescent="0.35">
      <c r="A502">
        <v>0</v>
      </c>
      <c r="B502">
        <v>4.8</v>
      </c>
      <c r="C502">
        <v>26234</v>
      </c>
    </row>
    <row r="503" spans="1:3" x14ac:dyDescent="0.35">
      <c r="A503">
        <v>0</v>
      </c>
      <c r="B503">
        <v>4.8</v>
      </c>
      <c r="C503">
        <v>26234</v>
      </c>
    </row>
    <row r="504" spans="1:3" x14ac:dyDescent="0.35">
      <c r="A504">
        <v>0</v>
      </c>
      <c r="B504">
        <v>4.8</v>
      </c>
      <c r="C504">
        <v>26234</v>
      </c>
    </row>
    <row r="505" spans="1:3" x14ac:dyDescent="0.35">
      <c r="A505">
        <v>0</v>
      </c>
      <c r="B505">
        <v>4.8</v>
      </c>
      <c r="C505">
        <v>26234</v>
      </c>
    </row>
    <row r="506" spans="1:3" x14ac:dyDescent="0.35">
      <c r="A506">
        <v>7</v>
      </c>
      <c r="B506">
        <v>4.8</v>
      </c>
      <c r="C506">
        <v>26234</v>
      </c>
    </row>
    <row r="507" spans="1:3" x14ac:dyDescent="0.35">
      <c r="A507">
        <v>21</v>
      </c>
      <c r="B507">
        <v>4.5999999999999996</v>
      </c>
      <c r="C507">
        <v>4360</v>
      </c>
    </row>
    <row r="508" spans="1:3" x14ac:dyDescent="0.35">
      <c r="A508">
        <v>21</v>
      </c>
      <c r="B508">
        <v>4.8</v>
      </c>
      <c r="C508">
        <v>2282</v>
      </c>
    </row>
    <row r="509" spans="1:3" x14ac:dyDescent="0.35">
      <c r="A509">
        <v>15</v>
      </c>
      <c r="B509">
        <v>4.5</v>
      </c>
      <c r="C509">
        <v>438</v>
      </c>
    </row>
    <row r="510" spans="1:3" x14ac:dyDescent="0.35">
      <c r="A510">
        <v>9</v>
      </c>
      <c r="B510">
        <v>4.7</v>
      </c>
      <c r="C510">
        <v>11676</v>
      </c>
    </row>
    <row r="511" spans="1:3" x14ac:dyDescent="0.35">
      <c r="A511">
        <v>5</v>
      </c>
      <c r="B511">
        <v>4.5</v>
      </c>
      <c r="C511">
        <v>2586</v>
      </c>
    </row>
    <row r="512" spans="1:3" x14ac:dyDescent="0.35">
      <c r="A512">
        <v>16</v>
      </c>
      <c r="B512">
        <v>4.8</v>
      </c>
      <c r="C512">
        <v>29673</v>
      </c>
    </row>
    <row r="513" spans="1:3" x14ac:dyDescent="0.35">
      <c r="A513">
        <v>16</v>
      </c>
      <c r="B513">
        <v>4.8</v>
      </c>
      <c r="C513">
        <v>29673</v>
      </c>
    </row>
    <row r="514" spans="1:3" x14ac:dyDescent="0.35">
      <c r="A514">
        <v>16</v>
      </c>
      <c r="B514">
        <v>4.8</v>
      </c>
      <c r="C514">
        <v>29673</v>
      </c>
    </row>
    <row r="515" spans="1:3" x14ac:dyDescent="0.35">
      <c r="A515">
        <v>13</v>
      </c>
      <c r="B515">
        <v>4.8</v>
      </c>
      <c r="C515">
        <v>29673</v>
      </c>
    </row>
    <row r="516" spans="1:3" x14ac:dyDescent="0.35">
      <c r="A516">
        <v>16</v>
      </c>
      <c r="B516">
        <v>4.8</v>
      </c>
      <c r="C516">
        <v>29673</v>
      </c>
    </row>
    <row r="517" spans="1:3" x14ac:dyDescent="0.35">
      <c r="A517">
        <v>20</v>
      </c>
      <c r="B517">
        <v>4.3</v>
      </c>
      <c r="C517">
        <v>6740</v>
      </c>
    </row>
    <row r="518" spans="1:3" x14ac:dyDescent="0.35">
      <c r="A518">
        <v>11</v>
      </c>
      <c r="B518">
        <v>4.9000000000000004</v>
      </c>
      <c r="C518">
        <v>5956</v>
      </c>
    </row>
    <row r="519" spans="1:3" x14ac:dyDescent="0.35">
      <c r="A519">
        <v>4</v>
      </c>
      <c r="B519">
        <v>4.8</v>
      </c>
      <c r="C519">
        <v>6108</v>
      </c>
    </row>
    <row r="520" spans="1:3" x14ac:dyDescent="0.35">
      <c r="A520">
        <v>9</v>
      </c>
      <c r="B520">
        <v>4.7</v>
      </c>
      <c r="C520">
        <v>4585</v>
      </c>
    </row>
    <row r="521" spans="1:3" x14ac:dyDescent="0.35">
      <c r="A521">
        <v>42</v>
      </c>
      <c r="B521">
        <v>4.8</v>
      </c>
      <c r="C521">
        <v>3829</v>
      </c>
    </row>
    <row r="522" spans="1:3" x14ac:dyDescent="0.35">
      <c r="A522">
        <v>12</v>
      </c>
      <c r="B522">
        <v>4.5</v>
      </c>
      <c r="C522">
        <v>8958</v>
      </c>
    </row>
    <row r="523" spans="1:3" x14ac:dyDescent="0.35">
      <c r="A523">
        <v>18</v>
      </c>
      <c r="B523">
        <v>4.5999999999999996</v>
      </c>
      <c r="C523">
        <v>5492</v>
      </c>
    </row>
    <row r="524" spans="1:3" x14ac:dyDescent="0.35">
      <c r="A524">
        <v>17</v>
      </c>
      <c r="B524">
        <v>4.7</v>
      </c>
      <c r="C524">
        <v>9292</v>
      </c>
    </row>
    <row r="525" spans="1:3" x14ac:dyDescent="0.35">
      <c r="A525">
        <v>14</v>
      </c>
      <c r="B525">
        <v>4.7</v>
      </c>
      <c r="C525">
        <v>1873</v>
      </c>
    </row>
    <row r="526" spans="1:3" x14ac:dyDescent="0.35">
      <c r="A526">
        <v>13</v>
      </c>
      <c r="B526">
        <v>4.8</v>
      </c>
      <c r="C526">
        <v>8170</v>
      </c>
    </row>
    <row r="527" spans="1:3" x14ac:dyDescent="0.35">
      <c r="A527">
        <v>9</v>
      </c>
      <c r="B527">
        <v>4.4000000000000004</v>
      </c>
      <c r="C527">
        <v>3341</v>
      </c>
    </row>
    <row r="528" spans="1:3" x14ac:dyDescent="0.35">
      <c r="A528">
        <v>6</v>
      </c>
      <c r="B528">
        <v>4.4000000000000004</v>
      </c>
      <c r="C528">
        <v>7497</v>
      </c>
    </row>
    <row r="529" spans="1:3" x14ac:dyDescent="0.35">
      <c r="A529">
        <v>6</v>
      </c>
      <c r="B529">
        <v>4.4000000000000004</v>
      </c>
      <c r="C529">
        <v>7497</v>
      </c>
    </row>
    <row r="530" spans="1:3" x14ac:dyDescent="0.35">
      <c r="A530">
        <v>14</v>
      </c>
      <c r="B530">
        <v>4.8</v>
      </c>
      <c r="C530">
        <v>13779</v>
      </c>
    </row>
    <row r="531" spans="1:3" x14ac:dyDescent="0.35">
      <c r="A531">
        <v>15</v>
      </c>
      <c r="B531">
        <v>4.8</v>
      </c>
      <c r="C531">
        <v>87841</v>
      </c>
    </row>
    <row r="532" spans="1:3" x14ac:dyDescent="0.35">
      <c r="A532">
        <v>13</v>
      </c>
      <c r="B532">
        <v>4.8</v>
      </c>
      <c r="C532">
        <v>9967</v>
      </c>
    </row>
    <row r="533" spans="1:3" x14ac:dyDescent="0.35">
      <c r="A533">
        <v>12</v>
      </c>
      <c r="B533">
        <v>4.5999999999999996</v>
      </c>
      <c r="C533">
        <v>6669</v>
      </c>
    </row>
    <row r="534" spans="1:3" x14ac:dyDescent="0.35">
      <c r="A534">
        <v>18</v>
      </c>
      <c r="B534">
        <v>4.4000000000000004</v>
      </c>
      <c r="C534">
        <v>17044</v>
      </c>
    </row>
    <row r="535" spans="1:3" x14ac:dyDescent="0.35">
      <c r="A535">
        <v>15</v>
      </c>
      <c r="B535">
        <v>4.5</v>
      </c>
      <c r="C535">
        <v>10760</v>
      </c>
    </row>
    <row r="536" spans="1:3" x14ac:dyDescent="0.35">
      <c r="A536">
        <v>11</v>
      </c>
      <c r="B536">
        <v>4.2</v>
      </c>
      <c r="C536">
        <v>1302</v>
      </c>
    </row>
    <row r="537" spans="1:3" x14ac:dyDescent="0.35">
      <c r="A537">
        <v>9</v>
      </c>
      <c r="B537">
        <v>4.8</v>
      </c>
      <c r="C537">
        <v>21625</v>
      </c>
    </row>
    <row r="538" spans="1:3" x14ac:dyDescent="0.35">
      <c r="A538">
        <v>9</v>
      </c>
      <c r="B538">
        <v>4.8</v>
      </c>
      <c r="C538">
        <v>21625</v>
      </c>
    </row>
    <row r="539" spans="1:3" x14ac:dyDescent="0.35">
      <c r="A539">
        <v>9</v>
      </c>
      <c r="B539">
        <v>4.8</v>
      </c>
      <c r="C539">
        <v>21625</v>
      </c>
    </row>
    <row r="540" spans="1:3" x14ac:dyDescent="0.35">
      <c r="A540">
        <v>9</v>
      </c>
      <c r="B540">
        <v>4.8</v>
      </c>
      <c r="C540">
        <v>21625</v>
      </c>
    </row>
    <row r="541" spans="1:3" x14ac:dyDescent="0.35">
      <c r="A541">
        <v>9</v>
      </c>
      <c r="B541">
        <v>4.8</v>
      </c>
      <c r="C541">
        <v>21625</v>
      </c>
    </row>
    <row r="542" spans="1:3" x14ac:dyDescent="0.35">
      <c r="A542">
        <v>8</v>
      </c>
      <c r="B542">
        <v>4.9000000000000004</v>
      </c>
      <c r="C542">
        <v>9413</v>
      </c>
    </row>
    <row r="543" spans="1:3" x14ac:dyDescent="0.35">
      <c r="A543">
        <v>8</v>
      </c>
      <c r="B543">
        <v>4.7</v>
      </c>
      <c r="C543">
        <v>14331</v>
      </c>
    </row>
    <row r="544" spans="1:3" x14ac:dyDescent="0.35">
      <c r="A544">
        <v>8</v>
      </c>
      <c r="B544">
        <v>4.7</v>
      </c>
      <c r="C544">
        <v>14331</v>
      </c>
    </row>
    <row r="545" spans="1:3" x14ac:dyDescent="0.35">
      <c r="A545">
        <v>8</v>
      </c>
      <c r="B545">
        <v>4.7</v>
      </c>
      <c r="C545">
        <v>14331</v>
      </c>
    </row>
    <row r="546" spans="1:3" x14ac:dyDescent="0.35">
      <c r="A546">
        <v>8</v>
      </c>
      <c r="B546">
        <v>4.7</v>
      </c>
      <c r="C546">
        <v>14331</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B2FE9-378E-4A2B-BEC1-82B7162BAD86}">
  <dimension ref="A2:J26"/>
  <sheetViews>
    <sheetView workbookViewId="0">
      <selection activeCell="B21" sqref="B21"/>
    </sheetView>
  </sheetViews>
  <sheetFormatPr defaultRowHeight="14.5" x14ac:dyDescent="0.35"/>
  <cols>
    <col min="1" max="1" width="13.1796875" bestFit="1" customWidth="1"/>
    <col min="2" max="2" width="18.7265625" bestFit="1" customWidth="1"/>
    <col min="9" max="9" width="13.1796875" customWidth="1"/>
    <col min="10" max="10" width="22.1796875" bestFit="1" customWidth="1"/>
  </cols>
  <sheetData>
    <row r="2" spans="1:10" ht="21" x14ac:dyDescent="0.5">
      <c r="E2" s="19" t="s">
        <v>658</v>
      </c>
      <c r="F2" s="20"/>
      <c r="G2" s="20"/>
      <c r="H2" s="20"/>
      <c r="I2" s="20"/>
      <c r="J2" s="20"/>
    </row>
    <row r="4" spans="1:10" x14ac:dyDescent="0.35">
      <c r="I4" t="s">
        <v>633</v>
      </c>
    </row>
    <row r="5" spans="1:10" x14ac:dyDescent="0.35">
      <c r="A5" s="3" t="s">
        <v>621</v>
      </c>
      <c r="B5" t="s">
        <v>648</v>
      </c>
      <c r="I5" s="3" t="s">
        <v>621</v>
      </c>
      <c r="J5" t="s">
        <v>632</v>
      </c>
    </row>
    <row r="6" spans="1:10" x14ac:dyDescent="0.35">
      <c r="A6" s="4">
        <v>2009</v>
      </c>
      <c r="B6" s="1">
        <v>4710.12</v>
      </c>
      <c r="I6" s="4">
        <v>2009</v>
      </c>
      <c r="J6" s="1">
        <v>50</v>
      </c>
    </row>
    <row r="7" spans="1:10" x14ac:dyDescent="0.35">
      <c r="A7" s="4">
        <v>2010</v>
      </c>
      <c r="B7" s="1">
        <v>5479.62</v>
      </c>
      <c r="I7" s="4">
        <v>2010</v>
      </c>
      <c r="J7" s="1">
        <v>50</v>
      </c>
    </row>
    <row r="8" spans="1:10" x14ac:dyDescent="0.35">
      <c r="A8" s="4">
        <v>2011</v>
      </c>
      <c r="B8" s="1">
        <v>8100.82</v>
      </c>
      <c r="I8" s="4">
        <v>2011</v>
      </c>
      <c r="J8" s="1">
        <v>50</v>
      </c>
    </row>
    <row r="9" spans="1:10" x14ac:dyDescent="0.35">
      <c r="A9" s="4">
        <v>2012</v>
      </c>
      <c r="B9" s="1">
        <v>13090.92</v>
      </c>
      <c r="I9" s="4">
        <v>2012</v>
      </c>
      <c r="J9" s="1">
        <v>50</v>
      </c>
    </row>
    <row r="10" spans="1:10" x14ac:dyDescent="0.35">
      <c r="A10" s="4">
        <v>2013</v>
      </c>
      <c r="B10" s="1">
        <v>13098.14</v>
      </c>
      <c r="I10" s="4">
        <v>2013</v>
      </c>
      <c r="J10" s="1">
        <v>50</v>
      </c>
    </row>
    <row r="11" spans="1:10" x14ac:dyDescent="0.35">
      <c r="A11" s="4">
        <v>2014</v>
      </c>
      <c r="B11" s="1">
        <v>15859.94</v>
      </c>
      <c r="I11" s="4">
        <v>2014</v>
      </c>
      <c r="J11" s="1">
        <v>50</v>
      </c>
    </row>
    <row r="12" spans="1:10" x14ac:dyDescent="0.35">
      <c r="A12" s="4">
        <v>2015</v>
      </c>
      <c r="B12" s="1">
        <v>14233.38</v>
      </c>
      <c r="I12" s="4">
        <v>2015</v>
      </c>
      <c r="J12" s="1">
        <v>50</v>
      </c>
    </row>
    <row r="13" spans="1:10" x14ac:dyDescent="0.35">
      <c r="A13" s="4">
        <v>2016</v>
      </c>
      <c r="B13" s="1">
        <v>14196</v>
      </c>
      <c r="I13" s="4">
        <v>2016</v>
      </c>
      <c r="J13" s="1">
        <v>50</v>
      </c>
    </row>
    <row r="14" spans="1:10" x14ac:dyDescent="0.35">
      <c r="A14" s="4">
        <v>2017</v>
      </c>
      <c r="B14" s="1">
        <v>12888.4</v>
      </c>
      <c r="I14" s="4">
        <v>2017</v>
      </c>
      <c r="J14" s="1">
        <v>50</v>
      </c>
    </row>
    <row r="15" spans="1:10" x14ac:dyDescent="0.35">
      <c r="A15" s="4">
        <v>2018</v>
      </c>
      <c r="B15" s="1">
        <v>13930.42</v>
      </c>
      <c r="I15" s="4">
        <v>2018</v>
      </c>
      <c r="J15" s="1">
        <v>50</v>
      </c>
    </row>
    <row r="16" spans="1:10" x14ac:dyDescent="0.35">
      <c r="A16" s="4">
        <v>2019</v>
      </c>
      <c r="B16" s="1">
        <v>15898.34</v>
      </c>
      <c r="I16" s="4">
        <v>2019</v>
      </c>
      <c r="J16" s="1">
        <v>50</v>
      </c>
    </row>
    <row r="17" spans="1:10" x14ac:dyDescent="0.35">
      <c r="A17" s="4" t="s">
        <v>622</v>
      </c>
      <c r="B17" s="1">
        <v>11953.281818181818</v>
      </c>
      <c r="I17" s="4" t="s">
        <v>622</v>
      </c>
      <c r="J17" s="1">
        <v>550</v>
      </c>
    </row>
    <row r="20" spans="1:10" x14ac:dyDescent="0.35">
      <c r="I20" t="s">
        <v>638</v>
      </c>
    </row>
    <row r="21" spans="1:10" x14ac:dyDescent="0.35">
      <c r="I21" s="3" t="s">
        <v>4</v>
      </c>
      <c r="J21" t="s">
        <v>634</v>
      </c>
    </row>
    <row r="23" spans="1:10" x14ac:dyDescent="0.35">
      <c r="I23" s="3" t="s">
        <v>621</v>
      </c>
      <c r="J23" t="s">
        <v>620</v>
      </c>
    </row>
    <row r="24" spans="1:10" x14ac:dyDescent="0.35">
      <c r="I24" s="4" t="s">
        <v>636</v>
      </c>
      <c r="J24" s="1">
        <v>4.6787999999999945</v>
      </c>
    </row>
    <row r="25" spans="1:10" x14ac:dyDescent="0.35">
      <c r="I25" s="4" t="s">
        <v>637</v>
      </c>
      <c r="J25" s="1">
        <v>4.5680000000000032</v>
      </c>
    </row>
    <row r="26" spans="1:10" x14ac:dyDescent="0.35">
      <c r="I26" s="4" t="s">
        <v>622</v>
      </c>
      <c r="J26" s="1">
        <v>4.6183636363636333</v>
      </c>
    </row>
  </sheetData>
  <mergeCells count="1">
    <mergeCell ref="E2:J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62B4-E1AF-4138-9C37-400569A4A921}">
  <dimension ref="A1:M360"/>
  <sheetViews>
    <sheetView topLeftCell="C1" workbookViewId="0">
      <selection activeCell="E16" sqref="E16"/>
    </sheetView>
  </sheetViews>
  <sheetFormatPr defaultRowHeight="14.5" x14ac:dyDescent="0.35"/>
  <cols>
    <col min="2" max="2" width="109.90625" bestFit="1" customWidth="1"/>
    <col min="3" max="3" width="13.90625" bestFit="1" customWidth="1"/>
    <col min="9" max="9" width="14.7265625" bestFit="1" customWidth="1"/>
    <col min="10" max="10" width="12.36328125" bestFit="1" customWidth="1"/>
    <col min="11" max="11" width="13.7265625" bestFit="1" customWidth="1"/>
    <col min="12" max="12" width="12.36328125" bestFit="1" customWidth="1"/>
    <col min="13" max="13" width="20.453125" bestFit="1" customWidth="1"/>
  </cols>
  <sheetData>
    <row r="1" spans="1:11" x14ac:dyDescent="0.35">
      <c r="A1" t="s">
        <v>651</v>
      </c>
    </row>
    <row r="2" spans="1:11" ht="21" x14ac:dyDescent="0.5">
      <c r="C2" s="19" t="s">
        <v>656</v>
      </c>
      <c r="D2" s="20"/>
      <c r="E2" s="20"/>
      <c r="F2" s="20"/>
      <c r="G2" s="20"/>
    </row>
    <row r="3" spans="1:11" x14ac:dyDescent="0.35">
      <c r="J3" t="s">
        <v>652</v>
      </c>
      <c r="K3" t="s">
        <v>653</v>
      </c>
    </row>
    <row r="4" spans="1:11" x14ac:dyDescent="0.35">
      <c r="J4" s="3" t="s">
        <v>621</v>
      </c>
      <c r="K4" t="s">
        <v>649</v>
      </c>
    </row>
    <row r="5" spans="1:11" x14ac:dyDescent="0.35">
      <c r="J5" s="4" t="s">
        <v>11</v>
      </c>
      <c r="K5" s="1">
        <v>240</v>
      </c>
    </row>
    <row r="6" spans="1:11" x14ac:dyDescent="0.35">
      <c r="J6" s="4" t="s">
        <v>8</v>
      </c>
      <c r="K6" s="1">
        <v>310</v>
      </c>
    </row>
    <row r="7" spans="1:11" x14ac:dyDescent="0.35">
      <c r="J7" s="4" t="s">
        <v>622</v>
      </c>
      <c r="K7" s="1">
        <v>550</v>
      </c>
    </row>
    <row r="8" spans="1:11" x14ac:dyDescent="0.35">
      <c r="B8" t="s">
        <v>633</v>
      </c>
    </row>
    <row r="9" spans="1:11" x14ac:dyDescent="0.35">
      <c r="B9" s="3" t="s">
        <v>621</v>
      </c>
      <c r="C9" t="s">
        <v>626</v>
      </c>
    </row>
    <row r="10" spans="1:11" x14ac:dyDescent="0.35">
      <c r="B10" s="4" t="s">
        <v>605</v>
      </c>
      <c r="C10" s="1">
        <v>57324</v>
      </c>
    </row>
    <row r="11" spans="1:11" x14ac:dyDescent="0.35">
      <c r="B11" s="4" t="s">
        <v>604</v>
      </c>
      <c r="C11" s="1">
        <v>9413</v>
      </c>
    </row>
    <row r="12" spans="1:11" x14ac:dyDescent="0.35">
      <c r="B12" s="4" t="s">
        <v>602</v>
      </c>
      <c r="C12" s="1">
        <v>108125</v>
      </c>
      <c r="J12" t="s">
        <v>654</v>
      </c>
    </row>
    <row r="13" spans="1:11" x14ac:dyDescent="0.35">
      <c r="B13" s="4" t="s">
        <v>600</v>
      </c>
      <c r="C13" s="1">
        <v>1302</v>
      </c>
      <c r="J13" s="3" t="s">
        <v>621</v>
      </c>
    </row>
    <row r="14" spans="1:11" x14ac:dyDescent="0.35">
      <c r="B14" s="4" t="s">
        <v>598</v>
      </c>
      <c r="C14" s="1">
        <v>10760</v>
      </c>
      <c r="J14" s="4">
        <v>2009</v>
      </c>
    </row>
    <row r="15" spans="1:11" x14ac:dyDescent="0.35">
      <c r="B15" s="4" t="s">
        <v>596</v>
      </c>
      <c r="C15" s="1">
        <v>17044</v>
      </c>
      <c r="J15" s="4" t="s">
        <v>622</v>
      </c>
    </row>
    <row r="16" spans="1:11" x14ac:dyDescent="0.35">
      <c r="B16" s="4" t="s">
        <v>594</v>
      </c>
      <c r="C16" s="1">
        <v>6669</v>
      </c>
    </row>
    <row r="17" spans="2:13" x14ac:dyDescent="0.35">
      <c r="B17" s="4" t="s">
        <v>592</v>
      </c>
      <c r="C17" s="1">
        <v>9967</v>
      </c>
    </row>
    <row r="18" spans="2:13" x14ac:dyDescent="0.35">
      <c r="B18" s="4" t="s">
        <v>590</v>
      </c>
      <c r="C18" s="1">
        <v>87841</v>
      </c>
    </row>
    <row r="19" spans="2:13" x14ac:dyDescent="0.35">
      <c r="B19" s="4" t="s">
        <v>588</v>
      </c>
      <c r="C19" s="1">
        <v>13779</v>
      </c>
    </row>
    <row r="20" spans="2:13" x14ac:dyDescent="0.35">
      <c r="B20" s="4" t="s">
        <v>586</v>
      </c>
      <c r="C20" s="1">
        <v>14994</v>
      </c>
      <c r="L20" s="3" t="s">
        <v>621</v>
      </c>
      <c r="M20" t="s">
        <v>620</v>
      </c>
    </row>
    <row r="21" spans="2:13" x14ac:dyDescent="0.35">
      <c r="B21" s="4" t="s">
        <v>584</v>
      </c>
      <c r="C21" s="1">
        <v>3341</v>
      </c>
      <c r="L21" s="4">
        <v>2009</v>
      </c>
      <c r="M21" s="1">
        <v>4.5839999999999996</v>
      </c>
    </row>
    <row r="22" spans="2:13" x14ac:dyDescent="0.35">
      <c r="B22" s="4" t="s">
        <v>582</v>
      </c>
      <c r="C22" s="1">
        <v>8170</v>
      </c>
      <c r="L22" s="4">
        <v>2010</v>
      </c>
      <c r="M22" s="1">
        <v>4.5579999999999998</v>
      </c>
    </row>
    <row r="23" spans="2:13" x14ac:dyDescent="0.35">
      <c r="B23" s="4" t="s">
        <v>581</v>
      </c>
      <c r="C23" s="1">
        <v>1873</v>
      </c>
      <c r="L23" s="4">
        <v>2011</v>
      </c>
      <c r="M23" s="1">
        <v>4.5580000000000007</v>
      </c>
    </row>
    <row r="24" spans="2:13" x14ac:dyDescent="0.35">
      <c r="B24" s="4" t="s">
        <v>579</v>
      </c>
      <c r="C24" s="1">
        <v>9292</v>
      </c>
      <c r="L24" s="4">
        <v>2012</v>
      </c>
      <c r="M24" s="1">
        <v>4.532</v>
      </c>
    </row>
    <row r="25" spans="2:13" x14ac:dyDescent="0.35">
      <c r="B25" s="4" t="s">
        <v>577</v>
      </c>
      <c r="C25" s="1">
        <v>5492</v>
      </c>
      <c r="L25" s="4">
        <v>2013</v>
      </c>
      <c r="M25" s="1">
        <v>4.5540000000000003</v>
      </c>
    </row>
    <row r="26" spans="2:13" x14ac:dyDescent="0.35">
      <c r="B26" s="4" t="s">
        <v>575</v>
      </c>
      <c r="C26" s="1">
        <v>8958</v>
      </c>
      <c r="L26" s="4">
        <v>2014</v>
      </c>
      <c r="M26" s="1">
        <v>4.6220000000000008</v>
      </c>
    </row>
    <row r="27" spans="2:13" x14ac:dyDescent="0.35">
      <c r="B27" s="4" t="s">
        <v>573</v>
      </c>
      <c r="C27" s="1">
        <v>3829</v>
      </c>
      <c r="L27" s="4">
        <v>2015</v>
      </c>
      <c r="M27" s="1">
        <v>4.6479999999999997</v>
      </c>
    </row>
    <row r="28" spans="2:13" x14ac:dyDescent="0.35">
      <c r="B28" s="4" t="s">
        <v>572</v>
      </c>
      <c r="C28" s="1">
        <v>4585</v>
      </c>
      <c r="L28" s="4">
        <v>2016</v>
      </c>
      <c r="M28" s="1">
        <v>4.6780000000000008</v>
      </c>
    </row>
    <row r="29" spans="2:13" x14ac:dyDescent="0.35">
      <c r="B29" s="4" t="s">
        <v>570</v>
      </c>
      <c r="C29" s="1">
        <v>6108</v>
      </c>
      <c r="L29" s="4">
        <v>2017</v>
      </c>
      <c r="M29" s="1">
        <v>4.66</v>
      </c>
    </row>
    <row r="30" spans="2:13" x14ac:dyDescent="0.35">
      <c r="B30" s="4" t="s">
        <v>569</v>
      </c>
      <c r="C30" s="1">
        <v>5956</v>
      </c>
      <c r="L30" s="4">
        <v>2018</v>
      </c>
      <c r="M30" s="1">
        <v>4.6680000000000028</v>
      </c>
    </row>
    <row r="31" spans="2:13" x14ac:dyDescent="0.35">
      <c r="B31" s="4" t="s">
        <v>568</v>
      </c>
      <c r="C31" s="1">
        <v>6740</v>
      </c>
      <c r="L31" s="4">
        <v>2019</v>
      </c>
      <c r="M31" s="1">
        <v>4.740000000000002</v>
      </c>
    </row>
    <row r="32" spans="2:13" x14ac:dyDescent="0.35">
      <c r="B32" s="4" t="s">
        <v>566</v>
      </c>
      <c r="C32" s="1">
        <v>148365</v>
      </c>
      <c r="L32" s="4" t="s">
        <v>622</v>
      </c>
      <c r="M32" s="1">
        <v>4.6183636363636449</v>
      </c>
    </row>
    <row r="33" spans="2:3" x14ac:dyDescent="0.35">
      <c r="B33" s="4" t="s">
        <v>565</v>
      </c>
      <c r="C33" s="1">
        <v>2586</v>
      </c>
    </row>
    <row r="34" spans="2:3" x14ac:dyDescent="0.35">
      <c r="B34" s="4" t="s">
        <v>564</v>
      </c>
      <c r="C34" s="1">
        <v>11676</v>
      </c>
    </row>
    <row r="35" spans="2:3" x14ac:dyDescent="0.35">
      <c r="B35" s="4" t="s">
        <v>562</v>
      </c>
      <c r="C35" s="1">
        <v>438</v>
      </c>
    </row>
    <row r="36" spans="2:3" x14ac:dyDescent="0.35">
      <c r="B36" s="4" t="s">
        <v>560</v>
      </c>
      <c r="C36" s="1">
        <v>2282</v>
      </c>
    </row>
    <row r="37" spans="2:3" x14ac:dyDescent="0.35">
      <c r="B37" s="4" t="s">
        <v>559</v>
      </c>
      <c r="C37" s="1">
        <v>4360</v>
      </c>
    </row>
    <row r="38" spans="2:3" x14ac:dyDescent="0.35">
      <c r="B38" s="4" t="s">
        <v>558</v>
      </c>
      <c r="C38" s="1">
        <v>131170</v>
      </c>
    </row>
    <row r="39" spans="2:3" x14ac:dyDescent="0.35">
      <c r="B39" s="4" t="s">
        <v>556</v>
      </c>
      <c r="C39" s="1">
        <v>5977</v>
      </c>
    </row>
    <row r="40" spans="2:3" x14ac:dyDescent="0.35">
      <c r="B40" s="4" t="s">
        <v>554</v>
      </c>
      <c r="C40" s="1">
        <v>44512</v>
      </c>
    </row>
    <row r="41" spans="2:3" x14ac:dyDescent="0.35">
      <c r="B41" s="4" t="s">
        <v>552</v>
      </c>
      <c r="C41" s="1">
        <v>6638</v>
      </c>
    </row>
    <row r="42" spans="2:3" x14ac:dyDescent="0.35">
      <c r="B42" s="4" t="s">
        <v>550</v>
      </c>
      <c r="C42" s="1">
        <v>1904</v>
      </c>
    </row>
    <row r="43" spans="2:3" x14ac:dyDescent="0.35">
      <c r="B43" s="4" t="s">
        <v>548</v>
      </c>
      <c r="C43" s="1">
        <v>7932</v>
      </c>
    </row>
    <row r="44" spans="2:3" x14ac:dyDescent="0.35">
      <c r="B44" s="4" t="s">
        <v>546</v>
      </c>
      <c r="C44" s="1">
        <v>22068</v>
      </c>
    </row>
    <row r="45" spans="2:3" x14ac:dyDescent="0.35">
      <c r="B45" s="4" t="s">
        <v>544</v>
      </c>
      <c r="C45" s="1">
        <v>7034</v>
      </c>
    </row>
    <row r="46" spans="2:3" x14ac:dyDescent="0.35">
      <c r="B46" s="4" t="s">
        <v>542</v>
      </c>
      <c r="C46" s="1">
        <v>6169</v>
      </c>
    </row>
    <row r="47" spans="2:3" x14ac:dyDescent="0.35">
      <c r="B47" s="4" t="s">
        <v>540</v>
      </c>
      <c r="C47" s="1">
        <v>60366</v>
      </c>
    </row>
    <row r="48" spans="2:3" x14ac:dyDescent="0.35">
      <c r="B48" s="4" t="s">
        <v>538</v>
      </c>
      <c r="C48" s="1">
        <v>35368</v>
      </c>
    </row>
    <row r="49" spans="2:3" x14ac:dyDescent="0.35">
      <c r="B49" s="4" t="s">
        <v>536</v>
      </c>
      <c r="C49" s="1">
        <v>22524</v>
      </c>
    </row>
    <row r="50" spans="2:3" x14ac:dyDescent="0.35">
      <c r="B50" s="4" t="s">
        <v>534</v>
      </c>
      <c r="C50" s="1">
        <v>136822</v>
      </c>
    </row>
    <row r="51" spans="2:3" x14ac:dyDescent="0.35">
      <c r="B51" s="4" t="s">
        <v>532</v>
      </c>
      <c r="C51" s="1">
        <v>9030</v>
      </c>
    </row>
    <row r="52" spans="2:3" x14ac:dyDescent="0.35">
      <c r="B52" s="4" t="s">
        <v>531</v>
      </c>
      <c r="C52" s="1">
        <v>3796</v>
      </c>
    </row>
    <row r="53" spans="2:3" x14ac:dyDescent="0.35">
      <c r="B53" s="4" t="s">
        <v>530</v>
      </c>
      <c r="C53" s="1">
        <v>3801</v>
      </c>
    </row>
    <row r="54" spans="2:3" x14ac:dyDescent="0.35">
      <c r="B54" s="4" t="s">
        <v>528</v>
      </c>
      <c r="C54" s="1">
        <v>11550</v>
      </c>
    </row>
    <row r="55" spans="2:3" x14ac:dyDescent="0.35">
      <c r="B55" s="4" t="s">
        <v>527</v>
      </c>
      <c r="C55" s="1">
        <v>3503</v>
      </c>
    </row>
    <row r="56" spans="2:3" x14ac:dyDescent="0.35">
      <c r="B56" s="4" t="s">
        <v>525</v>
      </c>
      <c r="C56" s="1">
        <v>3759</v>
      </c>
    </row>
    <row r="57" spans="2:3" x14ac:dyDescent="0.35">
      <c r="B57" s="4" t="s">
        <v>524</v>
      </c>
      <c r="C57" s="1">
        <v>1463</v>
      </c>
    </row>
    <row r="58" spans="2:3" x14ac:dyDescent="0.35">
      <c r="B58" s="4" t="s">
        <v>523</v>
      </c>
      <c r="C58" s="1">
        <v>6377</v>
      </c>
    </row>
    <row r="59" spans="2:3" x14ac:dyDescent="0.35">
      <c r="B59" s="4" t="s">
        <v>522</v>
      </c>
      <c r="C59" s="1">
        <v>5487</v>
      </c>
    </row>
    <row r="60" spans="2:3" x14ac:dyDescent="0.35">
      <c r="B60" s="4" t="s">
        <v>520</v>
      </c>
      <c r="C60" s="1">
        <v>79470</v>
      </c>
    </row>
    <row r="61" spans="2:3" x14ac:dyDescent="0.35">
      <c r="B61" s="4" t="s">
        <v>519</v>
      </c>
      <c r="C61" s="1">
        <v>4290</v>
      </c>
    </row>
    <row r="62" spans="2:3" x14ac:dyDescent="0.35">
      <c r="B62" s="4" t="s">
        <v>517</v>
      </c>
      <c r="C62" s="1">
        <v>27536</v>
      </c>
    </row>
    <row r="63" spans="2:3" x14ac:dyDescent="0.35">
      <c r="B63" s="4" t="s">
        <v>516</v>
      </c>
      <c r="C63" s="1">
        <v>2122</v>
      </c>
    </row>
    <row r="64" spans="2:3" x14ac:dyDescent="0.35">
      <c r="B64" s="4" t="s">
        <v>514</v>
      </c>
      <c r="C64" s="1">
        <v>39440</v>
      </c>
    </row>
    <row r="65" spans="2:3" x14ac:dyDescent="0.35">
      <c r="B65" s="4" t="s">
        <v>513</v>
      </c>
      <c r="C65" s="1">
        <v>2091</v>
      </c>
    </row>
    <row r="66" spans="2:3" x14ac:dyDescent="0.35">
      <c r="B66" s="4" t="s">
        <v>511</v>
      </c>
      <c r="C66" s="1">
        <v>1204</v>
      </c>
    </row>
    <row r="67" spans="2:3" x14ac:dyDescent="0.35">
      <c r="B67" s="4" t="s">
        <v>510</v>
      </c>
      <c r="C67" s="1">
        <v>2186</v>
      </c>
    </row>
    <row r="68" spans="2:3" x14ac:dyDescent="0.35">
      <c r="B68" s="4" t="s">
        <v>509</v>
      </c>
      <c r="C68" s="1">
        <v>14493</v>
      </c>
    </row>
    <row r="69" spans="2:3" x14ac:dyDescent="0.35">
      <c r="B69" s="4" t="s">
        <v>508</v>
      </c>
      <c r="C69" s="1">
        <v>10191</v>
      </c>
    </row>
    <row r="70" spans="2:3" x14ac:dyDescent="0.35">
      <c r="B70" s="4" t="s">
        <v>506</v>
      </c>
      <c r="C70" s="1">
        <v>10795</v>
      </c>
    </row>
    <row r="71" spans="2:3" x14ac:dyDescent="0.35">
      <c r="B71" s="4" t="s">
        <v>504</v>
      </c>
      <c r="C71" s="1">
        <v>19568</v>
      </c>
    </row>
    <row r="72" spans="2:3" x14ac:dyDescent="0.35">
      <c r="B72" s="4" t="s">
        <v>503</v>
      </c>
      <c r="C72" s="1">
        <v>7058</v>
      </c>
    </row>
    <row r="73" spans="2:3" x14ac:dyDescent="0.35">
      <c r="B73" s="4" t="s">
        <v>501</v>
      </c>
      <c r="C73" s="1">
        <v>3601</v>
      </c>
    </row>
    <row r="74" spans="2:3" x14ac:dyDescent="0.35">
      <c r="B74" s="4" t="s">
        <v>500</v>
      </c>
      <c r="C74" s="1">
        <v>2876</v>
      </c>
    </row>
    <row r="75" spans="2:3" x14ac:dyDescent="0.35">
      <c r="B75" s="4" t="s">
        <v>499</v>
      </c>
      <c r="C75" s="1">
        <v>3428</v>
      </c>
    </row>
    <row r="76" spans="2:3" x14ac:dyDescent="0.35">
      <c r="B76" s="4" t="s">
        <v>497</v>
      </c>
      <c r="C76" s="1">
        <v>2663</v>
      </c>
    </row>
    <row r="77" spans="2:3" x14ac:dyDescent="0.35">
      <c r="B77" s="4" t="s">
        <v>495</v>
      </c>
      <c r="C77" s="1">
        <v>3759</v>
      </c>
    </row>
    <row r="78" spans="2:3" x14ac:dyDescent="0.35">
      <c r="B78" s="4" t="s">
        <v>494</v>
      </c>
      <c r="C78" s="1">
        <v>807</v>
      </c>
    </row>
    <row r="79" spans="2:3" x14ac:dyDescent="0.35">
      <c r="B79" s="4" t="s">
        <v>492</v>
      </c>
      <c r="C79" s="1">
        <v>6005</v>
      </c>
    </row>
    <row r="80" spans="2:3" x14ac:dyDescent="0.35">
      <c r="B80" s="4" t="s">
        <v>490</v>
      </c>
      <c r="C80" s="1">
        <v>98576</v>
      </c>
    </row>
    <row r="81" spans="2:3" x14ac:dyDescent="0.35">
      <c r="B81" s="4" t="s">
        <v>488</v>
      </c>
      <c r="C81" s="1">
        <v>2744</v>
      </c>
    </row>
    <row r="82" spans="2:3" x14ac:dyDescent="0.35">
      <c r="B82" s="4" t="s">
        <v>487</v>
      </c>
      <c r="C82" s="1">
        <v>5898</v>
      </c>
    </row>
    <row r="83" spans="2:3" x14ac:dyDescent="0.35">
      <c r="B83" s="4" t="s">
        <v>485</v>
      </c>
      <c r="C83" s="1">
        <v>10101</v>
      </c>
    </row>
    <row r="84" spans="2:3" x14ac:dyDescent="0.35">
      <c r="B84" s="4" t="s">
        <v>483</v>
      </c>
      <c r="C84" s="1">
        <v>39459</v>
      </c>
    </row>
    <row r="85" spans="2:3" x14ac:dyDescent="0.35">
      <c r="B85" s="4" t="s">
        <v>482</v>
      </c>
      <c r="C85" s="1">
        <v>6247</v>
      </c>
    </row>
    <row r="86" spans="2:3" x14ac:dyDescent="0.35">
      <c r="B86" s="4" t="s">
        <v>480</v>
      </c>
      <c r="C86" s="1">
        <v>7861</v>
      </c>
    </row>
    <row r="87" spans="2:3" x14ac:dyDescent="0.35">
      <c r="B87" s="4" t="s">
        <v>478</v>
      </c>
      <c r="C87" s="1">
        <v>1655</v>
      </c>
    </row>
    <row r="88" spans="2:3" x14ac:dyDescent="0.35">
      <c r="B88" s="4" t="s">
        <v>477</v>
      </c>
      <c r="C88" s="1">
        <v>8747</v>
      </c>
    </row>
    <row r="89" spans="2:3" x14ac:dyDescent="0.35">
      <c r="B89" s="4" t="s">
        <v>476</v>
      </c>
      <c r="C89" s="1">
        <v>4506</v>
      </c>
    </row>
    <row r="90" spans="2:3" x14ac:dyDescent="0.35">
      <c r="B90" s="4" t="s">
        <v>475</v>
      </c>
      <c r="C90" s="1">
        <v>6222</v>
      </c>
    </row>
    <row r="91" spans="2:3" x14ac:dyDescent="0.35">
      <c r="B91" s="4" t="s">
        <v>473</v>
      </c>
      <c r="C91" s="1">
        <v>90564</v>
      </c>
    </row>
    <row r="92" spans="2:3" x14ac:dyDescent="0.35">
      <c r="B92" s="4" t="s">
        <v>471</v>
      </c>
      <c r="C92" s="1">
        <v>8494</v>
      </c>
    </row>
    <row r="93" spans="2:3" x14ac:dyDescent="0.35">
      <c r="B93" s="4" t="s">
        <v>469</v>
      </c>
      <c r="C93" s="1">
        <v>5396</v>
      </c>
    </row>
    <row r="94" spans="2:3" x14ac:dyDescent="0.35">
      <c r="B94" s="4" t="s">
        <v>468</v>
      </c>
      <c r="C94" s="1">
        <v>9256</v>
      </c>
    </row>
    <row r="95" spans="2:3" x14ac:dyDescent="0.35">
      <c r="B95" s="4" t="s">
        <v>466</v>
      </c>
      <c r="C95" s="1">
        <v>4028</v>
      </c>
    </row>
    <row r="96" spans="2:3" x14ac:dyDescent="0.35">
      <c r="B96" s="4" t="s">
        <v>464</v>
      </c>
      <c r="C96" s="1">
        <v>14736</v>
      </c>
    </row>
    <row r="97" spans="2:3" x14ac:dyDescent="0.35">
      <c r="B97" s="4" t="s">
        <v>462</v>
      </c>
      <c r="C97" s="1">
        <v>27867</v>
      </c>
    </row>
    <row r="98" spans="2:3" x14ac:dyDescent="0.35">
      <c r="B98" s="4" t="s">
        <v>461</v>
      </c>
      <c r="C98" s="1">
        <v>33898</v>
      </c>
    </row>
    <row r="99" spans="2:3" x14ac:dyDescent="0.35">
      <c r="B99" s="4" t="s">
        <v>460</v>
      </c>
      <c r="C99" s="1">
        <v>64244</v>
      </c>
    </row>
    <row r="100" spans="2:3" x14ac:dyDescent="0.35">
      <c r="B100" s="4" t="s">
        <v>459</v>
      </c>
      <c r="C100" s="1">
        <v>32122</v>
      </c>
    </row>
    <row r="101" spans="2:3" x14ac:dyDescent="0.35">
      <c r="B101" s="4" t="s">
        <v>458</v>
      </c>
      <c r="C101" s="1">
        <v>6982</v>
      </c>
    </row>
    <row r="102" spans="2:3" x14ac:dyDescent="0.35">
      <c r="B102" s="4" t="s">
        <v>456</v>
      </c>
      <c r="C102" s="1">
        <v>55484</v>
      </c>
    </row>
    <row r="103" spans="2:3" x14ac:dyDescent="0.35">
      <c r="B103" s="4" t="s">
        <v>454</v>
      </c>
      <c r="C103" s="1">
        <v>9947</v>
      </c>
    </row>
    <row r="104" spans="2:3" x14ac:dyDescent="0.35">
      <c r="B104" s="4" t="s">
        <v>452</v>
      </c>
      <c r="C104" s="1">
        <v>11098</v>
      </c>
    </row>
    <row r="105" spans="2:3" x14ac:dyDescent="0.35">
      <c r="B105" s="4" t="s">
        <v>450</v>
      </c>
      <c r="C105" s="1">
        <v>29442</v>
      </c>
    </row>
    <row r="106" spans="2:3" x14ac:dyDescent="0.35">
      <c r="B106" s="4" t="s">
        <v>448</v>
      </c>
      <c r="C106" s="1">
        <v>8587</v>
      </c>
    </row>
    <row r="107" spans="2:3" x14ac:dyDescent="0.35">
      <c r="B107" s="4" t="s">
        <v>447</v>
      </c>
      <c r="C107" s="1">
        <v>13609</v>
      </c>
    </row>
    <row r="108" spans="2:3" x14ac:dyDescent="0.35">
      <c r="B108" s="4" t="s">
        <v>445</v>
      </c>
      <c r="C108" s="1">
        <v>34848</v>
      </c>
    </row>
    <row r="109" spans="2:3" x14ac:dyDescent="0.35">
      <c r="B109" s="4" t="s">
        <v>443</v>
      </c>
      <c r="C109" s="1">
        <v>67688</v>
      </c>
    </row>
    <row r="110" spans="2:3" x14ac:dyDescent="0.35">
      <c r="B110" s="4" t="s">
        <v>441</v>
      </c>
      <c r="C110" s="1">
        <v>10498</v>
      </c>
    </row>
    <row r="111" spans="2:3" x14ac:dyDescent="0.35">
      <c r="B111" s="4" t="s">
        <v>440</v>
      </c>
      <c r="C111" s="1">
        <v>21118</v>
      </c>
    </row>
    <row r="112" spans="2:3" x14ac:dyDescent="0.35">
      <c r="B112" s="4" t="s">
        <v>439</v>
      </c>
      <c r="C112" s="1">
        <v>7251</v>
      </c>
    </row>
    <row r="113" spans="2:3" x14ac:dyDescent="0.35">
      <c r="B113" s="4" t="s">
        <v>438</v>
      </c>
      <c r="C113" s="1">
        <v>7251</v>
      </c>
    </row>
    <row r="114" spans="2:3" x14ac:dyDescent="0.35">
      <c r="B114" s="4" t="s">
        <v>436</v>
      </c>
      <c r="C114" s="1">
        <v>15494</v>
      </c>
    </row>
    <row r="115" spans="2:3" x14ac:dyDescent="0.35">
      <c r="B115" s="4" t="s">
        <v>434</v>
      </c>
      <c r="C115" s="1">
        <v>158892</v>
      </c>
    </row>
    <row r="116" spans="2:3" x14ac:dyDescent="0.35">
      <c r="B116" s="4" t="s">
        <v>433</v>
      </c>
      <c r="C116" s="1">
        <v>5836</v>
      </c>
    </row>
    <row r="117" spans="2:3" x14ac:dyDescent="0.35">
      <c r="B117" s="4" t="s">
        <v>431</v>
      </c>
      <c r="C117" s="1">
        <v>139848</v>
      </c>
    </row>
    <row r="118" spans="2:3" x14ac:dyDescent="0.35">
      <c r="B118" s="4" t="s">
        <v>430</v>
      </c>
      <c r="C118" s="1">
        <v>803</v>
      </c>
    </row>
    <row r="119" spans="2:3" x14ac:dyDescent="0.35">
      <c r="B119" s="4" t="s">
        <v>428</v>
      </c>
      <c r="C119" s="1">
        <v>16035</v>
      </c>
    </row>
    <row r="120" spans="2:3" x14ac:dyDescent="0.35">
      <c r="B120" s="4" t="s">
        <v>427</v>
      </c>
      <c r="C120" s="1">
        <v>201928</v>
      </c>
    </row>
    <row r="121" spans="2:3" x14ac:dyDescent="0.35">
      <c r="B121" s="4" t="s">
        <v>425</v>
      </c>
      <c r="C121" s="1">
        <v>1859</v>
      </c>
    </row>
    <row r="122" spans="2:3" x14ac:dyDescent="0.35">
      <c r="B122" s="4" t="s">
        <v>423</v>
      </c>
      <c r="C122" s="1">
        <v>2023</v>
      </c>
    </row>
    <row r="123" spans="2:3" x14ac:dyDescent="0.35">
      <c r="B123" s="4" t="s">
        <v>421</v>
      </c>
      <c r="C123" s="1">
        <v>26766</v>
      </c>
    </row>
    <row r="124" spans="2:3" x14ac:dyDescent="0.35">
      <c r="B124" s="4" t="s">
        <v>419</v>
      </c>
      <c r="C124" s="1">
        <v>440</v>
      </c>
    </row>
    <row r="125" spans="2:3" x14ac:dyDescent="0.35">
      <c r="B125" s="4" t="s">
        <v>417</v>
      </c>
      <c r="C125" s="1">
        <v>2774</v>
      </c>
    </row>
    <row r="126" spans="2:3" x14ac:dyDescent="0.35">
      <c r="B126" s="4" t="s">
        <v>416</v>
      </c>
      <c r="C126" s="1">
        <v>3523</v>
      </c>
    </row>
    <row r="127" spans="2:3" x14ac:dyDescent="0.35">
      <c r="B127" s="4" t="s">
        <v>414</v>
      </c>
      <c r="C127" s="1">
        <v>26122</v>
      </c>
    </row>
    <row r="128" spans="2:3" x14ac:dyDescent="0.35">
      <c r="B128" s="4" t="s">
        <v>412</v>
      </c>
      <c r="C128" s="1">
        <v>4633</v>
      </c>
    </row>
    <row r="129" spans="2:3" x14ac:dyDescent="0.35">
      <c r="B129" s="4" t="s">
        <v>411</v>
      </c>
      <c r="C129" s="1">
        <v>9372</v>
      </c>
    </row>
    <row r="130" spans="2:3" x14ac:dyDescent="0.35">
      <c r="B130" s="4" t="s">
        <v>409</v>
      </c>
      <c r="C130" s="1">
        <v>46716</v>
      </c>
    </row>
    <row r="131" spans="2:3" x14ac:dyDescent="0.35">
      <c r="B131" s="4" t="s">
        <v>407</v>
      </c>
      <c r="C131" s="1">
        <v>16162</v>
      </c>
    </row>
    <row r="132" spans="2:3" x14ac:dyDescent="0.35">
      <c r="B132" s="4" t="s">
        <v>405</v>
      </c>
      <c r="C132" s="1">
        <v>46296</v>
      </c>
    </row>
    <row r="133" spans="2:3" x14ac:dyDescent="0.35">
      <c r="B133" s="4" t="s">
        <v>403</v>
      </c>
      <c r="C133" s="1">
        <v>858</v>
      </c>
    </row>
    <row r="134" spans="2:3" x14ac:dyDescent="0.35">
      <c r="B134" s="4" t="s">
        <v>401</v>
      </c>
      <c r="C134" s="1">
        <v>12361</v>
      </c>
    </row>
    <row r="135" spans="2:3" x14ac:dyDescent="0.35">
      <c r="B135" s="4" t="s">
        <v>399</v>
      </c>
      <c r="C135" s="1">
        <v>1789</v>
      </c>
    </row>
    <row r="136" spans="2:3" x14ac:dyDescent="0.35">
      <c r="B136" s="4" t="s">
        <v>398</v>
      </c>
      <c r="C136" s="1">
        <v>6600</v>
      </c>
    </row>
    <row r="137" spans="2:3" x14ac:dyDescent="0.35">
      <c r="B137" s="4" t="s">
        <v>396</v>
      </c>
      <c r="C137" s="1">
        <v>3536</v>
      </c>
    </row>
    <row r="138" spans="2:3" x14ac:dyDescent="0.35">
      <c r="B138" s="4" t="s">
        <v>394</v>
      </c>
      <c r="C138" s="1">
        <v>23626</v>
      </c>
    </row>
    <row r="139" spans="2:3" x14ac:dyDescent="0.35">
      <c r="B139" s="4" t="s">
        <v>392</v>
      </c>
      <c r="C139" s="1">
        <v>2580</v>
      </c>
    </row>
    <row r="140" spans="2:3" x14ac:dyDescent="0.35">
      <c r="B140" s="4" t="s">
        <v>390</v>
      </c>
      <c r="C140" s="1">
        <v>35799</v>
      </c>
    </row>
    <row r="141" spans="2:3" x14ac:dyDescent="0.35">
      <c r="B141" s="4" t="s">
        <v>388</v>
      </c>
      <c r="C141" s="1">
        <v>51475</v>
      </c>
    </row>
    <row r="142" spans="2:3" x14ac:dyDescent="0.35">
      <c r="B142" s="4" t="s">
        <v>386</v>
      </c>
      <c r="C142" s="1">
        <v>1680</v>
      </c>
    </row>
    <row r="143" spans="2:3" x14ac:dyDescent="0.35">
      <c r="B143" s="4" t="s">
        <v>383</v>
      </c>
      <c r="C143" s="1">
        <v>145155</v>
      </c>
    </row>
    <row r="144" spans="2:3" x14ac:dyDescent="0.35">
      <c r="B144" s="4" t="s">
        <v>381</v>
      </c>
      <c r="C144" s="1">
        <v>4587</v>
      </c>
    </row>
    <row r="145" spans="2:3" x14ac:dyDescent="0.35">
      <c r="B145" s="4" t="s">
        <v>379</v>
      </c>
      <c r="C145" s="1">
        <v>2314</v>
      </c>
    </row>
    <row r="146" spans="2:3" x14ac:dyDescent="0.35">
      <c r="B146" s="4" t="s">
        <v>377</v>
      </c>
      <c r="C146" s="1">
        <v>1274</v>
      </c>
    </row>
    <row r="147" spans="2:3" x14ac:dyDescent="0.35">
      <c r="B147" s="4" t="s">
        <v>375</v>
      </c>
      <c r="C147" s="1">
        <v>23114</v>
      </c>
    </row>
    <row r="148" spans="2:3" x14ac:dyDescent="0.35">
      <c r="B148" s="4" t="s">
        <v>373</v>
      </c>
      <c r="C148" s="1">
        <v>1907</v>
      </c>
    </row>
    <row r="149" spans="2:3" x14ac:dyDescent="0.35">
      <c r="B149" s="4" t="s">
        <v>371</v>
      </c>
      <c r="C149" s="1">
        <v>1583</v>
      </c>
    </row>
    <row r="150" spans="2:3" x14ac:dyDescent="0.35">
      <c r="B150" s="4" t="s">
        <v>369</v>
      </c>
      <c r="C150" s="1">
        <v>45621</v>
      </c>
    </row>
    <row r="151" spans="2:3" x14ac:dyDescent="0.35">
      <c r="B151" s="4" t="s">
        <v>367</v>
      </c>
      <c r="C151" s="1">
        <v>9382</v>
      </c>
    </row>
    <row r="152" spans="2:3" x14ac:dyDescent="0.35">
      <c r="B152" s="4" t="s">
        <v>366</v>
      </c>
      <c r="C152" s="1">
        <v>15654</v>
      </c>
    </row>
    <row r="153" spans="2:3" x14ac:dyDescent="0.35">
      <c r="B153" s="4" t="s">
        <v>365</v>
      </c>
      <c r="C153" s="1">
        <v>220</v>
      </c>
    </row>
    <row r="154" spans="2:3" x14ac:dyDescent="0.35">
      <c r="B154" s="4" t="s">
        <v>364</v>
      </c>
      <c r="C154" s="1">
        <v>973</v>
      </c>
    </row>
    <row r="155" spans="2:3" x14ac:dyDescent="0.35">
      <c r="B155" s="4" t="s">
        <v>362</v>
      </c>
      <c r="C155" s="1">
        <v>2272</v>
      </c>
    </row>
    <row r="156" spans="2:3" x14ac:dyDescent="0.35">
      <c r="B156" s="4" t="s">
        <v>360</v>
      </c>
      <c r="C156" s="1">
        <v>3923</v>
      </c>
    </row>
    <row r="157" spans="2:3" x14ac:dyDescent="0.35">
      <c r="B157" s="4" t="s">
        <v>358</v>
      </c>
      <c r="C157" s="1">
        <v>1265</v>
      </c>
    </row>
    <row r="158" spans="2:3" x14ac:dyDescent="0.35">
      <c r="B158" s="4" t="s">
        <v>357</v>
      </c>
      <c r="C158" s="1">
        <v>9366</v>
      </c>
    </row>
    <row r="159" spans="2:3" x14ac:dyDescent="0.35">
      <c r="B159" s="4" t="s">
        <v>355</v>
      </c>
      <c r="C159" s="1">
        <v>46094</v>
      </c>
    </row>
    <row r="160" spans="2:3" x14ac:dyDescent="0.35">
      <c r="B160" s="4" t="s">
        <v>353</v>
      </c>
      <c r="C160" s="1">
        <v>3619</v>
      </c>
    </row>
    <row r="161" spans="2:3" x14ac:dyDescent="0.35">
      <c r="B161" s="4" t="s">
        <v>351</v>
      </c>
      <c r="C161" s="1">
        <v>15604</v>
      </c>
    </row>
    <row r="162" spans="2:3" x14ac:dyDescent="0.35">
      <c r="B162" s="4" t="s">
        <v>350</v>
      </c>
      <c r="C162" s="1">
        <v>3836</v>
      </c>
    </row>
    <row r="163" spans="2:3" x14ac:dyDescent="0.35">
      <c r="B163" s="4" t="s">
        <v>348</v>
      </c>
      <c r="C163" s="1">
        <v>7150</v>
      </c>
    </row>
    <row r="164" spans="2:3" x14ac:dyDescent="0.35">
      <c r="B164" s="4" t="s">
        <v>346</v>
      </c>
      <c r="C164" s="1">
        <v>45072</v>
      </c>
    </row>
    <row r="165" spans="2:3" x14ac:dyDescent="0.35">
      <c r="B165" s="4" t="s">
        <v>344</v>
      </c>
      <c r="C165" s="1">
        <v>3970</v>
      </c>
    </row>
    <row r="166" spans="2:3" x14ac:dyDescent="0.35">
      <c r="B166" s="4" t="s">
        <v>342</v>
      </c>
      <c r="C166" s="1">
        <v>20018</v>
      </c>
    </row>
    <row r="167" spans="2:3" x14ac:dyDescent="0.35">
      <c r="B167" s="4" t="s">
        <v>340</v>
      </c>
      <c r="C167" s="1">
        <v>4757</v>
      </c>
    </row>
    <row r="168" spans="2:3" x14ac:dyDescent="0.35">
      <c r="B168" s="4" t="s">
        <v>338</v>
      </c>
      <c r="C168" s="1">
        <v>85800</v>
      </c>
    </row>
    <row r="169" spans="2:3" x14ac:dyDescent="0.35">
      <c r="B169" s="4" t="s">
        <v>336</v>
      </c>
      <c r="C169" s="1">
        <v>27232</v>
      </c>
    </row>
    <row r="170" spans="2:3" x14ac:dyDescent="0.35">
      <c r="B170" s="4" t="s">
        <v>335</v>
      </c>
      <c r="C170" s="1">
        <v>3503</v>
      </c>
    </row>
    <row r="171" spans="2:3" x14ac:dyDescent="0.35">
      <c r="B171" s="4" t="s">
        <v>333</v>
      </c>
      <c r="C171" s="1">
        <v>50970</v>
      </c>
    </row>
    <row r="172" spans="2:3" x14ac:dyDescent="0.35">
      <c r="B172" s="4" t="s">
        <v>331</v>
      </c>
      <c r="C172" s="1">
        <v>548</v>
      </c>
    </row>
    <row r="173" spans="2:3" x14ac:dyDescent="0.35">
      <c r="B173" s="4" t="s">
        <v>329</v>
      </c>
      <c r="C173" s="1">
        <v>21640</v>
      </c>
    </row>
    <row r="174" spans="2:3" x14ac:dyDescent="0.35">
      <c r="B174" s="4" t="s">
        <v>328</v>
      </c>
      <c r="C174" s="1">
        <v>20852</v>
      </c>
    </row>
    <row r="175" spans="2:3" x14ac:dyDescent="0.35">
      <c r="B175" s="4" t="s">
        <v>326</v>
      </c>
      <c r="C175" s="1">
        <v>21930</v>
      </c>
    </row>
    <row r="176" spans="2:3" x14ac:dyDescent="0.35">
      <c r="B176" s="4" t="s">
        <v>325</v>
      </c>
      <c r="C176" s="1">
        <v>18904</v>
      </c>
    </row>
    <row r="177" spans="2:3" x14ac:dyDescent="0.35">
      <c r="B177" s="4" t="s">
        <v>324</v>
      </c>
      <c r="C177" s="1">
        <v>1831</v>
      </c>
    </row>
    <row r="178" spans="2:3" x14ac:dyDescent="0.35">
      <c r="B178" s="4" t="s">
        <v>322</v>
      </c>
      <c r="C178" s="1">
        <v>6326</v>
      </c>
    </row>
    <row r="179" spans="2:3" x14ac:dyDescent="0.35">
      <c r="B179" s="4" t="s">
        <v>320</v>
      </c>
      <c r="C179" s="1">
        <v>4519</v>
      </c>
    </row>
    <row r="180" spans="2:3" x14ac:dyDescent="0.35">
      <c r="B180" s="4" t="s">
        <v>319</v>
      </c>
      <c r="C180" s="1">
        <v>6169</v>
      </c>
    </row>
    <row r="181" spans="2:3" x14ac:dyDescent="0.35">
      <c r="B181" s="4" t="s">
        <v>317</v>
      </c>
      <c r="C181" s="1">
        <v>174672</v>
      </c>
    </row>
    <row r="182" spans="2:3" x14ac:dyDescent="0.35">
      <c r="B182" s="4" t="s">
        <v>315</v>
      </c>
      <c r="C182" s="1">
        <v>3192</v>
      </c>
    </row>
    <row r="183" spans="2:3" x14ac:dyDescent="0.35">
      <c r="B183" s="4" t="s">
        <v>313</v>
      </c>
      <c r="C183" s="1">
        <v>8093</v>
      </c>
    </row>
    <row r="184" spans="2:3" x14ac:dyDescent="0.35">
      <c r="B184" s="4" t="s">
        <v>311</v>
      </c>
      <c r="C184" s="1">
        <v>5178</v>
      </c>
    </row>
    <row r="185" spans="2:3" x14ac:dyDescent="0.35">
      <c r="B185" s="4" t="s">
        <v>310</v>
      </c>
      <c r="C185" s="1">
        <v>5680</v>
      </c>
    </row>
    <row r="186" spans="2:3" x14ac:dyDescent="0.35">
      <c r="B186" s="4" t="s">
        <v>308</v>
      </c>
      <c r="C186" s="1">
        <v>7866</v>
      </c>
    </row>
    <row r="187" spans="2:3" x14ac:dyDescent="0.35">
      <c r="B187" s="4" t="s">
        <v>306</v>
      </c>
      <c r="C187" s="1">
        <v>5347</v>
      </c>
    </row>
    <row r="188" spans="2:3" x14ac:dyDescent="0.35">
      <c r="B188" s="4" t="s">
        <v>305</v>
      </c>
      <c r="C188" s="1">
        <v>80223</v>
      </c>
    </row>
    <row r="189" spans="2:3" x14ac:dyDescent="0.35">
      <c r="B189" s="4" t="s">
        <v>303</v>
      </c>
      <c r="C189" s="1">
        <v>16626</v>
      </c>
    </row>
    <row r="190" spans="2:3" x14ac:dyDescent="0.35">
      <c r="B190" s="4" t="s">
        <v>301</v>
      </c>
      <c r="C190" s="1">
        <v>3113</v>
      </c>
    </row>
    <row r="191" spans="2:3" x14ac:dyDescent="0.35">
      <c r="B191" s="4" t="s">
        <v>299</v>
      </c>
      <c r="C191" s="1">
        <v>53217</v>
      </c>
    </row>
    <row r="192" spans="2:3" x14ac:dyDescent="0.35">
      <c r="B192" s="4" t="s">
        <v>297</v>
      </c>
      <c r="C192" s="1">
        <v>2926</v>
      </c>
    </row>
    <row r="193" spans="2:3" x14ac:dyDescent="0.35">
      <c r="B193" s="4" t="s">
        <v>295</v>
      </c>
      <c r="C193" s="1">
        <v>10199</v>
      </c>
    </row>
    <row r="194" spans="2:3" x14ac:dyDescent="0.35">
      <c r="B194" s="4" t="s">
        <v>294</v>
      </c>
      <c r="C194" s="1">
        <v>1386</v>
      </c>
    </row>
    <row r="195" spans="2:3" x14ac:dyDescent="0.35">
      <c r="B195" s="4" t="s">
        <v>293</v>
      </c>
      <c r="C195" s="1">
        <v>9867</v>
      </c>
    </row>
    <row r="196" spans="2:3" x14ac:dyDescent="0.35">
      <c r="B196" s="4" t="s">
        <v>291</v>
      </c>
      <c r="C196" s="1">
        <v>37226</v>
      </c>
    </row>
    <row r="197" spans="2:3" x14ac:dyDescent="0.35">
      <c r="B197" s="4" t="s">
        <v>289</v>
      </c>
      <c r="C197" s="1">
        <v>1649</v>
      </c>
    </row>
    <row r="198" spans="2:3" x14ac:dyDescent="0.35">
      <c r="B198" s="4" t="s">
        <v>287</v>
      </c>
      <c r="C198" s="1">
        <v>8491</v>
      </c>
    </row>
    <row r="199" spans="2:3" x14ac:dyDescent="0.35">
      <c r="B199" s="4" t="s">
        <v>285</v>
      </c>
      <c r="C199" s="1">
        <v>25706</v>
      </c>
    </row>
    <row r="200" spans="2:3" x14ac:dyDescent="0.35">
      <c r="B200" s="4" t="s">
        <v>283</v>
      </c>
      <c r="C200" s="1">
        <v>1884</v>
      </c>
    </row>
    <row r="201" spans="2:3" x14ac:dyDescent="0.35">
      <c r="B201" s="4" t="s">
        <v>281</v>
      </c>
      <c r="C201" s="1">
        <v>1467</v>
      </c>
    </row>
    <row r="202" spans="2:3" x14ac:dyDescent="0.35">
      <c r="B202" s="4" t="s">
        <v>279</v>
      </c>
      <c r="C202" s="1">
        <v>2752</v>
      </c>
    </row>
    <row r="203" spans="2:3" x14ac:dyDescent="0.35">
      <c r="B203" s="4" t="s">
        <v>277</v>
      </c>
      <c r="C203" s="1">
        <v>3828</v>
      </c>
    </row>
    <row r="204" spans="2:3" x14ac:dyDescent="0.35">
      <c r="B204" s="4" t="s">
        <v>275</v>
      </c>
      <c r="C204" s="1">
        <v>7550</v>
      </c>
    </row>
    <row r="205" spans="2:3" x14ac:dyDescent="0.35">
      <c r="B205" s="4" t="s">
        <v>273</v>
      </c>
      <c r="C205" s="1">
        <v>3014</v>
      </c>
    </row>
    <row r="206" spans="2:3" x14ac:dyDescent="0.35">
      <c r="B206" s="4" t="s">
        <v>271</v>
      </c>
      <c r="C206" s="1">
        <v>6132</v>
      </c>
    </row>
    <row r="207" spans="2:3" x14ac:dyDescent="0.35">
      <c r="B207" s="4" t="s">
        <v>270</v>
      </c>
      <c r="C207" s="1">
        <v>34950</v>
      </c>
    </row>
    <row r="208" spans="2:3" x14ac:dyDescent="0.35">
      <c r="B208" s="4" t="s">
        <v>268</v>
      </c>
      <c r="C208" s="1">
        <v>11881</v>
      </c>
    </row>
    <row r="209" spans="2:3" x14ac:dyDescent="0.35">
      <c r="B209" s="4" t="s">
        <v>266</v>
      </c>
      <c r="C209" s="1">
        <v>11019</v>
      </c>
    </row>
    <row r="210" spans="2:3" x14ac:dyDescent="0.35">
      <c r="B210" s="4" t="s">
        <v>264</v>
      </c>
      <c r="C210" s="1">
        <v>2507</v>
      </c>
    </row>
    <row r="211" spans="2:3" x14ac:dyDescent="0.35">
      <c r="B211" s="4" t="s">
        <v>263</v>
      </c>
      <c r="C211" s="1">
        <v>8916</v>
      </c>
    </row>
    <row r="212" spans="2:3" x14ac:dyDescent="0.35">
      <c r="B212" s="4" t="s">
        <v>262</v>
      </c>
      <c r="C212" s="1">
        <v>5235</v>
      </c>
    </row>
    <row r="213" spans="2:3" x14ac:dyDescent="0.35">
      <c r="B213" s="4" t="s">
        <v>261</v>
      </c>
      <c r="C213" s="1">
        <v>10927</v>
      </c>
    </row>
    <row r="214" spans="2:3" x14ac:dyDescent="0.35">
      <c r="B214" s="4" t="s">
        <v>260</v>
      </c>
      <c r="C214" s="1">
        <v>18684</v>
      </c>
    </row>
    <row r="215" spans="2:3" x14ac:dyDescent="0.35">
      <c r="B215" s="4" t="s">
        <v>259</v>
      </c>
      <c r="C215" s="1">
        <v>8634</v>
      </c>
    </row>
    <row r="216" spans="2:3" x14ac:dyDescent="0.35">
      <c r="B216" s="4" t="s">
        <v>257</v>
      </c>
      <c r="C216" s="1">
        <v>11391</v>
      </c>
    </row>
    <row r="217" spans="2:3" x14ac:dyDescent="0.35">
      <c r="B217" s="4" t="s">
        <v>255</v>
      </c>
      <c r="C217" s="1">
        <v>8393</v>
      </c>
    </row>
    <row r="218" spans="2:3" x14ac:dyDescent="0.35">
      <c r="B218" s="4" t="s">
        <v>254</v>
      </c>
      <c r="C218" s="1">
        <v>4748</v>
      </c>
    </row>
    <row r="219" spans="2:3" x14ac:dyDescent="0.35">
      <c r="B219" s="4" t="s">
        <v>253</v>
      </c>
      <c r="C219" s="1">
        <v>978</v>
      </c>
    </row>
    <row r="220" spans="2:3" x14ac:dyDescent="0.35">
      <c r="B220" s="4" t="s">
        <v>251</v>
      </c>
      <c r="C220" s="1">
        <v>117456</v>
      </c>
    </row>
    <row r="221" spans="2:3" x14ac:dyDescent="0.35">
      <c r="B221" s="4" t="s">
        <v>249</v>
      </c>
      <c r="C221" s="1">
        <v>7062</v>
      </c>
    </row>
    <row r="222" spans="2:3" x14ac:dyDescent="0.35">
      <c r="B222" s="4" t="s">
        <v>247</v>
      </c>
      <c r="C222" s="1">
        <v>14792</v>
      </c>
    </row>
    <row r="223" spans="2:3" x14ac:dyDescent="0.35">
      <c r="B223" s="4" t="s">
        <v>245</v>
      </c>
      <c r="C223" s="1">
        <v>5299</v>
      </c>
    </row>
    <row r="224" spans="2:3" x14ac:dyDescent="0.35">
      <c r="B224" s="4" t="s">
        <v>243</v>
      </c>
      <c r="C224" s="1">
        <v>29651</v>
      </c>
    </row>
    <row r="225" spans="2:3" x14ac:dyDescent="0.35">
      <c r="B225" s="4" t="s">
        <v>241</v>
      </c>
      <c r="C225" s="1">
        <v>4571</v>
      </c>
    </row>
    <row r="226" spans="2:3" x14ac:dyDescent="0.35">
      <c r="B226" s="4" t="s">
        <v>239</v>
      </c>
      <c r="C226" s="1">
        <v>7153</v>
      </c>
    </row>
    <row r="227" spans="2:3" x14ac:dyDescent="0.35">
      <c r="B227" s="4" t="s">
        <v>237</v>
      </c>
      <c r="C227" s="1">
        <v>33286</v>
      </c>
    </row>
    <row r="228" spans="2:3" x14ac:dyDescent="0.35">
      <c r="B228" s="4" t="s">
        <v>235</v>
      </c>
      <c r="C228" s="1">
        <v>1320</v>
      </c>
    </row>
    <row r="229" spans="2:3" x14ac:dyDescent="0.35">
      <c r="B229" s="4" t="s">
        <v>233</v>
      </c>
      <c r="C229" s="1">
        <v>9737</v>
      </c>
    </row>
    <row r="230" spans="2:3" x14ac:dyDescent="0.35">
      <c r="B230" s="4" t="s">
        <v>231</v>
      </c>
      <c r="C230" s="1">
        <v>4896</v>
      </c>
    </row>
    <row r="231" spans="2:3" x14ac:dyDescent="0.35">
      <c r="B231" s="4" t="s">
        <v>230</v>
      </c>
      <c r="C231" s="1">
        <v>2812</v>
      </c>
    </row>
    <row r="232" spans="2:3" x14ac:dyDescent="0.35">
      <c r="B232" s="4" t="s">
        <v>228</v>
      </c>
      <c r="C232" s="1">
        <v>6980</v>
      </c>
    </row>
    <row r="233" spans="2:3" x14ac:dyDescent="0.35">
      <c r="B233" s="4" t="s">
        <v>226</v>
      </c>
      <c r="C233" s="1">
        <v>5272</v>
      </c>
    </row>
    <row r="234" spans="2:3" x14ac:dyDescent="0.35">
      <c r="B234" s="4" t="s">
        <v>224</v>
      </c>
      <c r="C234" s="1">
        <v>125005</v>
      </c>
    </row>
    <row r="235" spans="2:3" x14ac:dyDescent="0.35">
      <c r="B235" s="4" t="s">
        <v>222</v>
      </c>
      <c r="C235" s="1">
        <v>3776</v>
      </c>
    </row>
    <row r="236" spans="2:3" x14ac:dyDescent="0.35">
      <c r="B236" s="4" t="s">
        <v>220</v>
      </c>
      <c r="C236" s="1">
        <v>31052</v>
      </c>
    </row>
    <row r="237" spans="2:3" x14ac:dyDescent="0.35">
      <c r="B237" s="4" t="s">
        <v>218</v>
      </c>
      <c r="C237" s="1">
        <v>31558</v>
      </c>
    </row>
    <row r="238" spans="2:3" x14ac:dyDescent="0.35">
      <c r="B238" s="4" t="s">
        <v>216</v>
      </c>
      <c r="C238" s="1">
        <v>1930</v>
      </c>
    </row>
    <row r="239" spans="2:3" x14ac:dyDescent="0.35">
      <c r="B239" s="4" t="s">
        <v>215</v>
      </c>
      <c r="C239" s="1">
        <v>13471</v>
      </c>
    </row>
    <row r="240" spans="2:3" x14ac:dyDescent="0.35">
      <c r="B240" s="4" t="s">
        <v>213</v>
      </c>
      <c r="C240" s="1">
        <v>3564</v>
      </c>
    </row>
    <row r="241" spans="2:3" x14ac:dyDescent="0.35">
      <c r="B241" s="4" t="s">
        <v>212</v>
      </c>
      <c r="C241" s="1">
        <v>10052</v>
      </c>
    </row>
    <row r="242" spans="2:3" x14ac:dyDescent="0.35">
      <c r="B242" s="4" t="s">
        <v>211</v>
      </c>
      <c r="C242" s="1">
        <v>3146</v>
      </c>
    </row>
    <row r="243" spans="2:3" x14ac:dyDescent="0.35">
      <c r="B243" s="4" t="s">
        <v>209</v>
      </c>
      <c r="C243" s="1">
        <v>7758</v>
      </c>
    </row>
    <row r="244" spans="2:3" x14ac:dyDescent="0.35">
      <c r="B244" s="4" t="s">
        <v>208</v>
      </c>
      <c r="C244" s="1">
        <v>23973</v>
      </c>
    </row>
    <row r="245" spans="2:3" x14ac:dyDescent="0.35">
      <c r="B245" s="4" t="s">
        <v>207</v>
      </c>
      <c r="C245" s="1">
        <v>19622</v>
      </c>
    </row>
    <row r="246" spans="2:3" x14ac:dyDescent="0.35">
      <c r="B246" s="4" t="s">
        <v>205</v>
      </c>
      <c r="C246" s="1">
        <v>4148</v>
      </c>
    </row>
    <row r="247" spans="2:3" x14ac:dyDescent="0.35">
      <c r="B247" s="4" t="s">
        <v>203</v>
      </c>
      <c r="C247" s="1">
        <v>5867</v>
      </c>
    </row>
    <row r="248" spans="2:3" x14ac:dyDescent="0.35">
      <c r="B248" s="4" t="s">
        <v>201</v>
      </c>
      <c r="C248" s="1">
        <v>5476</v>
      </c>
    </row>
    <row r="249" spans="2:3" x14ac:dyDescent="0.35">
      <c r="B249" s="4" t="s">
        <v>200</v>
      </c>
      <c r="C249" s="1">
        <v>25624</v>
      </c>
    </row>
    <row r="250" spans="2:3" x14ac:dyDescent="0.35">
      <c r="B250" s="4" t="s">
        <v>198</v>
      </c>
      <c r="C250" s="1">
        <v>5972</v>
      </c>
    </row>
    <row r="251" spans="2:3" x14ac:dyDescent="0.35">
      <c r="B251" s="4" t="s">
        <v>196</v>
      </c>
      <c r="C251" s="1">
        <v>14076</v>
      </c>
    </row>
    <row r="252" spans="2:3" x14ac:dyDescent="0.35">
      <c r="B252" s="4" t="s">
        <v>194</v>
      </c>
      <c r="C252" s="1">
        <v>26511</v>
      </c>
    </row>
    <row r="253" spans="2:3" x14ac:dyDescent="0.35">
      <c r="B253" s="4" t="s">
        <v>192</v>
      </c>
      <c r="C253" s="1">
        <v>13828</v>
      </c>
    </row>
    <row r="254" spans="2:3" x14ac:dyDescent="0.35">
      <c r="B254" s="4" t="s">
        <v>190</v>
      </c>
      <c r="C254" s="1">
        <v>10141</v>
      </c>
    </row>
    <row r="255" spans="2:3" x14ac:dyDescent="0.35">
      <c r="B255" s="4" t="s">
        <v>188</v>
      </c>
      <c r="C255" s="1">
        <v>171813</v>
      </c>
    </row>
    <row r="256" spans="2:3" x14ac:dyDescent="0.35">
      <c r="B256" s="4" t="s">
        <v>186</v>
      </c>
      <c r="C256" s="1">
        <v>1636</v>
      </c>
    </row>
    <row r="257" spans="2:3" x14ac:dyDescent="0.35">
      <c r="B257" s="4" t="s">
        <v>184</v>
      </c>
      <c r="C257" s="1">
        <v>9568</v>
      </c>
    </row>
    <row r="258" spans="2:3" x14ac:dyDescent="0.35">
      <c r="B258" s="4" t="s">
        <v>182</v>
      </c>
      <c r="C258" s="1">
        <v>14982</v>
      </c>
    </row>
    <row r="259" spans="2:3" x14ac:dyDescent="0.35">
      <c r="B259" s="4" t="s">
        <v>181</v>
      </c>
      <c r="C259" s="1">
        <v>1365</v>
      </c>
    </row>
    <row r="260" spans="2:3" x14ac:dyDescent="0.35">
      <c r="B260" s="4" t="s">
        <v>180</v>
      </c>
      <c r="C260" s="1">
        <v>44576</v>
      </c>
    </row>
    <row r="261" spans="2:3" x14ac:dyDescent="0.35">
      <c r="B261" s="4" t="s">
        <v>178</v>
      </c>
      <c r="C261" s="1">
        <v>7660</v>
      </c>
    </row>
    <row r="262" spans="2:3" x14ac:dyDescent="0.35">
      <c r="B262" s="4" t="s">
        <v>176</v>
      </c>
      <c r="C262" s="1">
        <v>70190</v>
      </c>
    </row>
    <row r="263" spans="2:3" x14ac:dyDescent="0.35">
      <c r="B263" s="4" t="s">
        <v>174</v>
      </c>
      <c r="C263" s="1">
        <v>4799</v>
      </c>
    </row>
    <row r="264" spans="2:3" x14ac:dyDescent="0.35">
      <c r="B264" s="4" t="s">
        <v>172</v>
      </c>
      <c r="C264" s="1">
        <v>408</v>
      </c>
    </row>
    <row r="265" spans="2:3" x14ac:dyDescent="0.35">
      <c r="B265" s="4" t="s">
        <v>170</v>
      </c>
      <c r="C265" s="1">
        <v>16782</v>
      </c>
    </row>
    <row r="266" spans="2:3" x14ac:dyDescent="0.35">
      <c r="B266" s="4" t="s">
        <v>168</v>
      </c>
      <c r="C266" s="1">
        <v>1215</v>
      </c>
    </row>
    <row r="267" spans="2:3" x14ac:dyDescent="0.35">
      <c r="B267" s="4" t="s">
        <v>166</v>
      </c>
      <c r="C267" s="1">
        <v>3642</v>
      </c>
    </row>
    <row r="268" spans="2:3" x14ac:dyDescent="0.35">
      <c r="B268" s="4" t="s">
        <v>164</v>
      </c>
      <c r="C268" s="1">
        <v>1555</v>
      </c>
    </row>
    <row r="269" spans="2:3" x14ac:dyDescent="0.35">
      <c r="B269" s="4" t="s">
        <v>162</v>
      </c>
      <c r="C269" s="1">
        <v>86615</v>
      </c>
    </row>
    <row r="270" spans="2:3" x14ac:dyDescent="0.35">
      <c r="B270" s="4" t="s">
        <v>160</v>
      </c>
      <c r="C270" s="1">
        <v>13677</v>
      </c>
    </row>
    <row r="271" spans="2:3" x14ac:dyDescent="0.35">
      <c r="B271" s="4" t="s">
        <v>159</v>
      </c>
      <c r="C271" s="1">
        <v>13964</v>
      </c>
    </row>
    <row r="272" spans="2:3" x14ac:dyDescent="0.35">
      <c r="B272" s="4" t="s">
        <v>158</v>
      </c>
      <c r="C272" s="1">
        <v>94530</v>
      </c>
    </row>
    <row r="273" spans="2:3" x14ac:dyDescent="0.35">
      <c r="B273" s="4" t="s">
        <v>157</v>
      </c>
      <c r="C273" s="1">
        <v>20262</v>
      </c>
    </row>
    <row r="274" spans="2:3" x14ac:dyDescent="0.35">
      <c r="B274" s="4" t="s">
        <v>155</v>
      </c>
      <c r="C274" s="1">
        <v>23631</v>
      </c>
    </row>
    <row r="275" spans="2:3" x14ac:dyDescent="0.35">
      <c r="B275" s="4" t="s">
        <v>153</v>
      </c>
      <c r="C275" s="1">
        <v>6042</v>
      </c>
    </row>
    <row r="276" spans="2:3" x14ac:dyDescent="0.35">
      <c r="B276" s="4" t="s">
        <v>151</v>
      </c>
      <c r="C276" s="1">
        <v>4370</v>
      </c>
    </row>
    <row r="277" spans="2:3" x14ac:dyDescent="0.35">
      <c r="B277" s="4" t="s">
        <v>149</v>
      </c>
      <c r="C277" s="1">
        <v>21442</v>
      </c>
    </row>
    <row r="278" spans="2:3" x14ac:dyDescent="0.35">
      <c r="B278" s="4" t="s">
        <v>147</v>
      </c>
      <c r="C278" s="1">
        <v>5413</v>
      </c>
    </row>
    <row r="279" spans="2:3" x14ac:dyDescent="0.35">
      <c r="B279" s="4" t="s">
        <v>145</v>
      </c>
      <c r="C279" s="1">
        <v>57458</v>
      </c>
    </row>
    <row r="280" spans="2:3" x14ac:dyDescent="0.35">
      <c r="B280" s="4" t="s">
        <v>144</v>
      </c>
      <c r="C280" s="1">
        <v>5505</v>
      </c>
    </row>
    <row r="281" spans="2:3" x14ac:dyDescent="0.35">
      <c r="B281" s="4" t="s">
        <v>143</v>
      </c>
      <c r="C281" s="1">
        <v>5505</v>
      </c>
    </row>
    <row r="282" spans="2:3" x14ac:dyDescent="0.35">
      <c r="B282" s="4" t="s">
        <v>141</v>
      </c>
      <c r="C282" s="1">
        <v>12692</v>
      </c>
    </row>
    <row r="283" spans="2:3" x14ac:dyDescent="0.35">
      <c r="B283" s="4" t="s">
        <v>140</v>
      </c>
      <c r="C283" s="1">
        <v>956</v>
      </c>
    </row>
    <row r="284" spans="2:3" x14ac:dyDescent="0.35">
      <c r="B284" s="4" t="s">
        <v>138</v>
      </c>
      <c r="C284" s="1">
        <v>720</v>
      </c>
    </row>
    <row r="285" spans="2:3" x14ac:dyDescent="0.35">
      <c r="B285" s="4" t="s">
        <v>136</v>
      </c>
      <c r="C285" s="1">
        <v>2525</v>
      </c>
    </row>
    <row r="286" spans="2:3" x14ac:dyDescent="0.35">
      <c r="B286" s="4" t="s">
        <v>134</v>
      </c>
      <c r="C286" s="1">
        <v>2134</v>
      </c>
    </row>
    <row r="287" spans="2:3" x14ac:dyDescent="0.35">
      <c r="B287" s="4" t="s">
        <v>133</v>
      </c>
      <c r="C287" s="1">
        <v>5118</v>
      </c>
    </row>
    <row r="288" spans="2:3" x14ac:dyDescent="0.35">
      <c r="B288" s="4" t="s">
        <v>132</v>
      </c>
      <c r="C288" s="1">
        <v>5470</v>
      </c>
    </row>
    <row r="289" spans="2:3" x14ac:dyDescent="0.35">
      <c r="B289" s="4" t="s">
        <v>131</v>
      </c>
      <c r="C289" s="1">
        <v>9089</v>
      </c>
    </row>
    <row r="290" spans="2:3" x14ac:dyDescent="0.35">
      <c r="B290" s="4" t="s">
        <v>130</v>
      </c>
      <c r="C290" s="1">
        <v>12619</v>
      </c>
    </row>
    <row r="291" spans="2:3" x14ac:dyDescent="0.35">
      <c r="B291" s="4" t="s">
        <v>129</v>
      </c>
      <c r="C291" s="1">
        <v>14470</v>
      </c>
    </row>
    <row r="292" spans="2:3" x14ac:dyDescent="0.35">
      <c r="B292" s="4" t="s">
        <v>128</v>
      </c>
      <c r="C292" s="1">
        <v>4786</v>
      </c>
    </row>
    <row r="293" spans="2:3" x14ac:dyDescent="0.35">
      <c r="B293" s="4" t="s">
        <v>126</v>
      </c>
      <c r="C293" s="1">
        <v>5062</v>
      </c>
    </row>
    <row r="294" spans="2:3" x14ac:dyDescent="0.35">
      <c r="B294" s="4" t="s">
        <v>125</v>
      </c>
      <c r="C294" s="1">
        <v>3181</v>
      </c>
    </row>
    <row r="295" spans="2:3" x14ac:dyDescent="0.35">
      <c r="B295" s="4" t="s">
        <v>124</v>
      </c>
      <c r="C295" s="1">
        <v>15845</v>
      </c>
    </row>
    <row r="296" spans="2:3" x14ac:dyDescent="0.35">
      <c r="B296" s="4" t="s">
        <v>122</v>
      </c>
      <c r="C296" s="1">
        <v>37</v>
      </c>
    </row>
    <row r="297" spans="2:3" x14ac:dyDescent="0.35">
      <c r="B297" s="4" t="s">
        <v>121</v>
      </c>
      <c r="C297" s="1">
        <v>17684</v>
      </c>
    </row>
    <row r="298" spans="2:3" x14ac:dyDescent="0.35">
      <c r="B298" s="4" t="s">
        <v>120</v>
      </c>
      <c r="C298" s="1">
        <v>54196</v>
      </c>
    </row>
    <row r="299" spans="2:3" x14ac:dyDescent="0.35">
      <c r="B299" s="4" t="s">
        <v>118</v>
      </c>
      <c r="C299" s="1">
        <v>7955</v>
      </c>
    </row>
    <row r="300" spans="2:3" x14ac:dyDescent="0.35">
      <c r="B300" s="4" t="s">
        <v>117</v>
      </c>
      <c r="C300" s="1">
        <v>6540</v>
      </c>
    </row>
    <row r="301" spans="2:3" x14ac:dyDescent="0.35">
      <c r="B301" s="4" t="s">
        <v>116</v>
      </c>
      <c r="C301" s="1">
        <v>3837</v>
      </c>
    </row>
    <row r="302" spans="2:3" x14ac:dyDescent="0.35">
      <c r="B302" s="4" t="s">
        <v>115</v>
      </c>
      <c r="C302" s="1">
        <v>6812</v>
      </c>
    </row>
    <row r="303" spans="2:3" x14ac:dyDescent="0.35">
      <c r="B303" s="4" t="s">
        <v>113</v>
      </c>
      <c r="C303" s="1">
        <v>13358</v>
      </c>
    </row>
    <row r="304" spans="2:3" x14ac:dyDescent="0.35">
      <c r="B304" s="4" t="s">
        <v>111</v>
      </c>
      <c r="C304" s="1">
        <v>1651</v>
      </c>
    </row>
    <row r="305" spans="2:3" x14ac:dyDescent="0.35">
      <c r="B305" s="4" t="s">
        <v>109</v>
      </c>
      <c r="C305" s="1">
        <v>2137</v>
      </c>
    </row>
    <row r="306" spans="2:3" x14ac:dyDescent="0.35">
      <c r="B306" s="4" t="s">
        <v>107</v>
      </c>
      <c r="C306" s="1">
        <v>43688</v>
      </c>
    </row>
    <row r="307" spans="2:3" x14ac:dyDescent="0.35">
      <c r="B307" s="4" t="s">
        <v>106</v>
      </c>
      <c r="C307" s="1">
        <v>2094</v>
      </c>
    </row>
    <row r="308" spans="2:3" x14ac:dyDescent="0.35">
      <c r="B308" s="4" t="s">
        <v>105</v>
      </c>
      <c r="C308" s="1">
        <v>1924</v>
      </c>
    </row>
    <row r="309" spans="2:3" x14ac:dyDescent="0.35">
      <c r="B309" s="4" t="s">
        <v>103</v>
      </c>
      <c r="C309" s="1">
        <v>1541</v>
      </c>
    </row>
    <row r="310" spans="2:3" x14ac:dyDescent="0.35">
      <c r="B310" s="4" t="s">
        <v>101</v>
      </c>
      <c r="C310" s="1">
        <v>4642</v>
      </c>
    </row>
    <row r="311" spans="2:3" x14ac:dyDescent="0.35">
      <c r="B311" s="4" t="s">
        <v>99</v>
      </c>
      <c r="C311" s="1">
        <v>1329</v>
      </c>
    </row>
    <row r="312" spans="2:3" x14ac:dyDescent="0.35">
      <c r="B312" s="4" t="s">
        <v>97</v>
      </c>
      <c r="C312" s="1">
        <v>9732</v>
      </c>
    </row>
    <row r="313" spans="2:3" x14ac:dyDescent="0.35">
      <c r="B313" s="4" t="s">
        <v>96</v>
      </c>
      <c r="C313" s="1">
        <v>3871</v>
      </c>
    </row>
    <row r="314" spans="2:3" x14ac:dyDescent="0.35">
      <c r="B314" s="4" t="s">
        <v>94</v>
      </c>
      <c r="C314" s="1">
        <v>4022</v>
      </c>
    </row>
    <row r="315" spans="2:3" x14ac:dyDescent="0.35">
      <c r="B315" s="4" t="s">
        <v>92</v>
      </c>
      <c r="C315" s="1">
        <v>6143</v>
      </c>
    </row>
    <row r="316" spans="2:3" x14ac:dyDescent="0.35">
      <c r="B316" s="4" t="s">
        <v>90</v>
      </c>
      <c r="C316" s="1">
        <v>4626</v>
      </c>
    </row>
    <row r="317" spans="2:3" x14ac:dyDescent="0.35">
      <c r="B317" s="4" t="s">
        <v>88</v>
      </c>
      <c r="C317" s="1">
        <v>4761</v>
      </c>
    </row>
    <row r="318" spans="2:3" x14ac:dyDescent="0.35">
      <c r="B318" s="4" t="s">
        <v>86</v>
      </c>
      <c r="C318" s="1">
        <v>67842</v>
      </c>
    </row>
    <row r="319" spans="2:3" x14ac:dyDescent="0.35">
      <c r="B319" s="4" t="s">
        <v>84</v>
      </c>
      <c r="C319" s="1">
        <v>2884</v>
      </c>
    </row>
    <row r="320" spans="2:3" x14ac:dyDescent="0.35">
      <c r="B320" s="4" t="s">
        <v>82</v>
      </c>
      <c r="C320" s="1">
        <v>16244</v>
      </c>
    </row>
    <row r="321" spans="2:3" x14ac:dyDescent="0.35">
      <c r="B321" s="4" t="s">
        <v>80</v>
      </c>
      <c r="C321" s="1">
        <v>10369</v>
      </c>
    </row>
    <row r="322" spans="2:3" x14ac:dyDescent="0.35">
      <c r="B322" s="4" t="s">
        <v>78</v>
      </c>
      <c r="C322" s="1">
        <v>4505</v>
      </c>
    </row>
    <row r="323" spans="2:3" x14ac:dyDescent="0.35">
      <c r="B323" s="4" t="s">
        <v>76</v>
      </c>
      <c r="C323" s="1">
        <v>28688</v>
      </c>
    </row>
    <row r="324" spans="2:3" x14ac:dyDescent="0.35">
      <c r="B324" s="4" t="s">
        <v>75</v>
      </c>
      <c r="C324" s="1">
        <v>471</v>
      </c>
    </row>
    <row r="325" spans="2:3" x14ac:dyDescent="0.35">
      <c r="B325" s="4" t="s">
        <v>73</v>
      </c>
      <c r="C325" s="1">
        <v>9769</v>
      </c>
    </row>
    <row r="326" spans="2:3" x14ac:dyDescent="0.35">
      <c r="B326" s="4" t="s">
        <v>71</v>
      </c>
      <c r="C326" s="1">
        <v>3729</v>
      </c>
    </row>
    <row r="327" spans="2:3" x14ac:dyDescent="0.35">
      <c r="B327" s="4" t="s">
        <v>69</v>
      </c>
      <c r="C327" s="1">
        <v>20140</v>
      </c>
    </row>
    <row r="328" spans="2:3" x14ac:dyDescent="0.35">
      <c r="B328" s="4" t="s">
        <v>67</v>
      </c>
      <c r="C328" s="1">
        <v>11113</v>
      </c>
    </row>
    <row r="329" spans="2:3" x14ac:dyDescent="0.35">
      <c r="B329" s="4" t="s">
        <v>65</v>
      </c>
      <c r="C329" s="1">
        <v>122266</v>
      </c>
    </row>
    <row r="330" spans="2:3" x14ac:dyDescent="0.35">
      <c r="B330" s="4" t="s">
        <v>64</v>
      </c>
      <c r="C330" s="1">
        <v>615</v>
      </c>
    </row>
    <row r="331" spans="2:3" x14ac:dyDescent="0.35">
      <c r="B331" s="4" t="s">
        <v>62</v>
      </c>
      <c r="C331" s="1">
        <v>1296</v>
      </c>
    </row>
    <row r="332" spans="2:3" x14ac:dyDescent="0.35">
      <c r="B332" s="4" t="s">
        <v>60</v>
      </c>
      <c r="C332" s="1">
        <v>1909</v>
      </c>
    </row>
    <row r="333" spans="2:3" x14ac:dyDescent="0.35">
      <c r="B333" s="4" t="s">
        <v>58</v>
      </c>
      <c r="C333" s="1">
        <v>5360</v>
      </c>
    </row>
    <row r="334" spans="2:3" x14ac:dyDescent="0.35">
      <c r="B334" s="4" t="s">
        <v>56</v>
      </c>
      <c r="C334" s="1">
        <v>491</v>
      </c>
    </row>
    <row r="335" spans="2:3" x14ac:dyDescent="0.35">
      <c r="B335" s="4" t="s">
        <v>54</v>
      </c>
      <c r="C335" s="1">
        <v>9374</v>
      </c>
    </row>
    <row r="336" spans="2:3" x14ac:dyDescent="0.35">
      <c r="B336" s="4" t="s">
        <v>52</v>
      </c>
      <c r="C336" s="1">
        <v>798</v>
      </c>
    </row>
    <row r="337" spans="2:3" x14ac:dyDescent="0.35">
      <c r="B337" s="4" t="s">
        <v>50</v>
      </c>
      <c r="C337" s="1">
        <v>12159</v>
      </c>
    </row>
    <row r="338" spans="2:3" x14ac:dyDescent="0.35">
      <c r="B338" s="4" t="s">
        <v>48</v>
      </c>
      <c r="C338" s="1">
        <v>15921</v>
      </c>
    </row>
    <row r="339" spans="2:3" x14ac:dyDescent="0.35">
      <c r="B339" s="4" t="s">
        <v>46</v>
      </c>
      <c r="C339" s="1">
        <v>6310</v>
      </c>
    </row>
    <row r="340" spans="2:3" x14ac:dyDescent="0.35">
      <c r="B340" s="4" t="s">
        <v>44</v>
      </c>
      <c r="C340" s="1">
        <v>72696</v>
      </c>
    </row>
    <row r="341" spans="2:3" x14ac:dyDescent="0.35">
      <c r="B341" s="4" t="s">
        <v>42</v>
      </c>
      <c r="C341" s="1">
        <v>9198</v>
      </c>
    </row>
    <row r="342" spans="2:3" x14ac:dyDescent="0.35">
      <c r="B342" s="4" t="s">
        <v>40</v>
      </c>
      <c r="C342" s="1">
        <v>2426</v>
      </c>
    </row>
    <row r="343" spans="2:3" x14ac:dyDescent="0.35">
      <c r="B343" s="4" t="s">
        <v>39</v>
      </c>
      <c r="C343" s="1">
        <v>2951</v>
      </c>
    </row>
    <row r="344" spans="2:3" x14ac:dyDescent="0.35">
      <c r="B344" s="4" t="s">
        <v>37</v>
      </c>
      <c r="C344" s="1">
        <v>2925</v>
      </c>
    </row>
    <row r="345" spans="2:3" x14ac:dyDescent="0.35">
      <c r="B345" s="4" t="s">
        <v>35</v>
      </c>
      <c r="C345" s="1">
        <v>2313</v>
      </c>
    </row>
    <row r="346" spans="2:3" x14ac:dyDescent="0.35">
      <c r="B346" s="4" t="s">
        <v>33</v>
      </c>
      <c r="C346" s="1">
        <v>5013</v>
      </c>
    </row>
    <row r="347" spans="2:3" x14ac:dyDescent="0.35">
      <c r="B347" s="4" t="s">
        <v>31</v>
      </c>
      <c r="C347" s="1">
        <v>5153</v>
      </c>
    </row>
    <row r="348" spans="2:3" x14ac:dyDescent="0.35">
      <c r="B348" s="4" t="s">
        <v>29</v>
      </c>
      <c r="C348" s="1">
        <v>4149</v>
      </c>
    </row>
    <row r="349" spans="2:3" x14ac:dyDescent="0.35">
      <c r="B349" s="4" t="s">
        <v>27</v>
      </c>
      <c r="C349" s="1">
        <v>460</v>
      </c>
    </row>
    <row r="350" spans="2:3" x14ac:dyDescent="0.35">
      <c r="B350" s="4" t="s">
        <v>25</v>
      </c>
      <c r="C350" s="1">
        <v>47696</v>
      </c>
    </row>
    <row r="351" spans="2:3" x14ac:dyDescent="0.35">
      <c r="B351" s="4" t="s">
        <v>23</v>
      </c>
      <c r="C351" s="1">
        <v>5983</v>
      </c>
    </row>
    <row r="352" spans="2:3" x14ac:dyDescent="0.35">
      <c r="B352" s="4" t="s">
        <v>21</v>
      </c>
      <c r="C352" s="1">
        <v>19699</v>
      </c>
    </row>
    <row r="353" spans="2:3" x14ac:dyDescent="0.35">
      <c r="B353" s="4" t="s">
        <v>20</v>
      </c>
      <c r="C353" s="1">
        <v>19735</v>
      </c>
    </row>
    <row r="354" spans="2:3" x14ac:dyDescent="0.35">
      <c r="B354" s="4" t="s">
        <v>18</v>
      </c>
      <c r="C354" s="1">
        <v>12643</v>
      </c>
    </row>
    <row r="355" spans="2:3" x14ac:dyDescent="0.35">
      <c r="B355" s="4" t="s">
        <v>16</v>
      </c>
      <c r="C355" s="1">
        <v>7665</v>
      </c>
    </row>
    <row r="356" spans="2:3" x14ac:dyDescent="0.35">
      <c r="B356" s="4" t="s">
        <v>14</v>
      </c>
      <c r="C356" s="1">
        <v>21424</v>
      </c>
    </row>
    <row r="357" spans="2:3" x14ac:dyDescent="0.35">
      <c r="B357" s="4" t="s">
        <v>12</v>
      </c>
      <c r="C357" s="1">
        <v>18979</v>
      </c>
    </row>
    <row r="358" spans="2:3" x14ac:dyDescent="0.35">
      <c r="B358" s="4" t="s">
        <v>9</v>
      </c>
      <c r="C358" s="1">
        <v>2052</v>
      </c>
    </row>
    <row r="359" spans="2:3" x14ac:dyDescent="0.35">
      <c r="B359" s="4" t="s">
        <v>6</v>
      </c>
      <c r="C359" s="1">
        <v>17350</v>
      </c>
    </row>
    <row r="360" spans="2:3" x14ac:dyDescent="0.35">
      <c r="B360" s="4" t="s">
        <v>622</v>
      </c>
      <c r="C360" s="1">
        <v>6574305</v>
      </c>
    </row>
  </sheetData>
  <mergeCells count="1">
    <mergeCell ref="C2:G2"/>
  </mergeCells>
  <pageMargins left="0.7" right="0.7" top="0.75" bottom="0.75" header="0.3" footer="0.3"/>
  <pageSetup paperSize="9" orientation="portrait" r:id="rId5"/>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A9C7B-88E5-4618-90AD-FD633C518EDA}">
  <dimension ref="A1"/>
  <sheetViews>
    <sheetView topLeftCell="C13" zoomScaleNormal="100" workbookViewId="0">
      <selection activeCell="D11" sqref="D11"/>
    </sheetView>
  </sheetViews>
  <sheetFormatPr defaultRowHeight="14.5" x14ac:dyDescent="0.35"/>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7FB978-3D20-4673-BD1A-5288EE8877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Cleaned_bestsellers_wit_ cat</vt:lpstr>
      <vt:lpstr>Rating &amp; Popularity Analysis</vt:lpstr>
      <vt:lpstr>Price Analysis</vt:lpstr>
      <vt:lpstr>correlation for price analysis</vt:lpstr>
      <vt:lpstr>Trends Over Time analysis</vt:lpstr>
      <vt:lpstr>FOR VISUALIZATION</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ABC</dc:creator>
  <cp:lastModifiedBy>Daniel</cp:lastModifiedBy>
  <dcterms:created xsi:type="dcterms:W3CDTF">2025-06-24T09:38:14Z</dcterms:created>
  <dcterms:modified xsi:type="dcterms:W3CDTF">2026-05-22T08:28:23Z</dcterms:modified>
</cp:coreProperties>
</file>